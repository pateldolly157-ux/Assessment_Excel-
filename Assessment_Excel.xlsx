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78230292e7ad509/Desktop/python/EXCEL ASSISIGNMENT/"/>
    </mc:Choice>
  </mc:AlternateContent>
  <xr:revisionPtr revIDLastSave="16" documentId="14_{E86D0B33-14BA-4F8A-BA92-BA54DB5B45F8}" xr6:coauthVersionLast="47" xr6:coauthVersionMax="47" xr10:uidLastSave="{B4A93D5F-ACE6-46F0-9DD2-BF5DCECAB7BF}"/>
  <bookViews>
    <workbookView xWindow="-108" yWindow="-108" windowWidth="23256" windowHeight="12456" firstSheet="2" activeTab="9" xr2:uid="{00000000-000D-0000-FFFF-FFFF00000000}"/>
  </bookViews>
  <sheets>
    <sheet name="Read Me" sheetId="1" r:id="rId1"/>
    <sheet name="Section A" sheetId="2" r:id="rId2"/>
    <sheet name="Restaurants" sheetId="3" r:id="rId3"/>
    <sheet name="Orders" sheetId="4" r:id="rId4"/>
    <sheet name="Premium Orders" sheetId="5" r:id="rId5"/>
    <sheet name="Stats Summary" sheetId="6" r:id="rId6"/>
    <sheet name="QStats" sheetId="7" state="hidden" r:id="rId7"/>
    <sheet name="Zone Stats" sheetId="8" r:id="rId8"/>
    <sheet name="Pivot Analysis" sheetId="9" r:id="rId9"/>
    <sheet name="Dashboard" sheetId="10" r:id="rId10"/>
  </sheets>
  <definedNames>
    <definedName name="_xlnm._FilterDatabase" localSheetId="3" hidden="1">Orders!$A$4:$M$124</definedName>
    <definedName name="_xlnm._FilterDatabase" localSheetId="4" hidden="1">'Premium Orders'!$A$4:$M$52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6" i="8" l="1"/>
  <c r="H7" i="8"/>
  <c r="H8" i="8"/>
  <c r="H9" i="8"/>
  <c r="H5" i="8"/>
  <c r="C6" i="8"/>
  <c r="C7" i="8"/>
  <c r="C8" i="8"/>
  <c r="C9" i="8"/>
  <c r="C5" i="8"/>
  <c r="F5" i="8"/>
  <c r="F6" i="8"/>
  <c r="F7" i="8"/>
  <c r="F8" i="8"/>
  <c r="F9" i="8"/>
  <c r="G6" i="8"/>
  <c r="G7" i="8"/>
  <c r="G8" i="8"/>
  <c r="G9" i="8"/>
  <c r="G5" i="8"/>
  <c r="D6" i="8"/>
  <c r="D7" i="8"/>
  <c r="D8" i="8"/>
  <c r="D9" i="8"/>
  <c r="D5" i="8"/>
  <c r="B13" i="6"/>
  <c r="B12" i="6"/>
  <c r="B9" i="6"/>
  <c r="B8" i="6"/>
  <c r="B7" i="6"/>
  <c r="B10" i="6"/>
  <c r="B11" i="6"/>
  <c r="B16" i="6"/>
  <c r="B14" i="6"/>
  <c r="B6" i="6"/>
  <c r="B23" i="10"/>
  <c r="A23" i="10"/>
  <c r="B22" i="10"/>
  <c r="A22" i="10"/>
  <c r="B21" i="10"/>
  <c r="A21" i="10"/>
  <c r="B20" i="10"/>
  <c r="A20" i="10"/>
  <c r="F14" i="10"/>
  <c r="D13" i="10"/>
  <c r="I5" i="10"/>
  <c r="E5" i="10"/>
  <c r="A5" i="10"/>
  <c r="D26" i="9"/>
  <c r="D23" i="10" s="1"/>
  <c r="C26" i="9"/>
  <c r="C23" i="10" s="1"/>
  <c r="D25" i="9"/>
  <c r="D22" i="10" s="1"/>
  <c r="C25" i="9"/>
  <c r="C22" i="10" s="1"/>
  <c r="D24" i="9"/>
  <c r="D21" i="10" s="1"/>
  <c r="C24" i="9"/>
  <c r="C21" i="10" s="1"/>
  <c r="D23" i="9"/>
  <c r="D20" i="10" s="1"/>
  <c r="C23" i="9"/>
  <c r="C20" i="10" s="1"/>
  <c r="C18" i="9"/>
  <c r="B18" i="9"/>
  <c r="C17" i="9"/>
  <c r="B17" i="9"/>
  <c r="C16" i="9"/>
  <c r="B16" i="9"/>
  <c r="C15" i="9"/>
  <c r="B15" i="9"/>
  <c r="F9" i="9"/>
  <c r="E9" i="9"/>
  <c r="E14" i="10" s="1"/>
  <c r="D9" i="9"/>
  <c r="D14" i="10" s="1"/>
  <c r="C9" i="9"/>
  <c r="C14" i="10" s="1"/>
  <c r="B9" i="9"/>
  <c r="B14" i="10" s="1"/>
  <c r="F8" i="9"/>
  <c r="F13" i="10" s="1"/>
  <c r="E8" i="9"/>
  <c r="D8" i="9"/>
  <c r="C8" i="9"/>
  <c r="C13" i="10" s="1"/>
  <c r="B8" i="9"/>
  <c r="B13" i="10" s="1"/>
  <c r="F7" i="9"/>
  <c r="F12" i="10" s="1"/>
  <c r="E7" i="9"/>
  <c r="E12" i="10" s="1"/>
  <c r="D7" i="9"/>
  <c r="D12" i="10" s="1"/>
  <c r="C7" i="9"/>
  <c r="C12" i="10" s="1"/>
  <c r="B7" i="9"/>
  <c r="B12" i="10" s="1"/>
  <c r="F6" i="9"/>
  <c r="E6" i="9"/>
  <c r="E11" i="10" s="1"/>
  <c r="D6" i="9"/>
  <c r="D11" i="10" s="1"/>
  <c r="C6" i="9"/>
  <c r="C11" i="10" s="1"/>
  <c r="B6" i="9"/>
  <c r="E9" i="8"/>
  <c r="B9" i="8"/>
  <c r="E8" i="8"/>
  <c r="B8" i="8"/>
  <c r="E7" i="8"/>
  <c r="B7" i="8"/>
  <c r="E6" i="8"/>
  <c r="B6" i="8"/>
  <c r="E5" i="8"/>
  <c r="B5" i="8"/>
  <c r="B2" i="7"/>
  <c r="B1" i="7"/>
  <c r="B7" i="7" s="1"/>
  <c r="B5" i="6"/>
  <c r="L52" i="5"/>
  <c r="K52" i="5"/>
  <c r="J52" i="5"/>
  <c r="L51" i="5"/>
  <c r="K51" i="5"/>
  <c r="J51" i="5"/>
  <c r="L50" i="5"/>
  <c r="K50" i="5"/>
  <c r="J50" i="5"/>
  <c r="L49" i="5"/>
  <c r="K49" i="5"/>
  <c r="J49" i="5"/>
  <c r="L48" i="5"/>
  <c r="K48" i="5"/>
  <c r="J48" i="5"/>
  <c r="L47" i="5"/>
  <c r="K47" i="5"/>
  <c r="J47" i="5"/>
  <c r="L46" i="5"/>
  <c r="K46" i="5"/>
  <c r="J46" i="5"/>
  <c r="L45" i="5"/>
  <c r="K45" i="5"/>
  <c r="J45" i="5"/>
  <c r="L44" i="5"/>
  <c r="K44" i="5"/>
  <c r="J44" i="5"/>
  <c r="L43" i="5"/>
  <c r="K43" i="5"/>
  <c r="J43" i="5"/>
  <c r="L42" i="5"/>
  <c r="K42" i="5"/>
  <c r="J42" i="5"/>
  <c r="L41" i="5"/>
  <c r="K41" i="5"/>
  <c r="J41" i="5"/>
  <c r="L40" i="5"/>
  <c r="K40" i="5"/>
  <c r="J40" i="5"/>
  <c r="L39" i="5"/>
  <c r="K39" i="5"/>
  <c r="J39" i="5"/>
  <c r="L38" i="5"/>
  <c r="K38" i="5"/>
  <c r="J38" i="5"/>
  <c r="L37" i="5"/>
  <c r="K37" i="5"/>
  <c r="J37" i="5"/>
  <c r="L36" i="5"/>
  <c r="K36" i="5"/>
  <c r="J36" i="5"/>
  <c r="L35" i="5"/>
  <c r="K35" i="5"/>
  <c r="J35" i="5"/>
  <c r="L34" i="5"/>
  <c r="K34" i="5"/>
  <c r="J34" i="5"/>
  <c r="L33" i="5"/>
  <c r="K33" i="5"/>
  <c r="J33" i="5"/>
  <c r="L32" i="5"/>
  <c r="K32" i="5"/>
  <c r="J32" i="5"/>
  <c r="L31" i="5"/>
  <c r="K31" i="5"/>
  <c r="J31" i="5"/>
  <c r="L30" i="5"/>
  <c r="K30" i="5"/>
  <c r="J30" i="5"/>
  <c r="L29" i="5"/>
  <c r="K29" i="5"/>
  <c r="J29" i="5"/>
  <c r="L28" i="5"/>
  <c r="K28" i="5"/>
  <c r="J28" i="5"/>
  <c r="L27" i="5"/>
  <c r="K27" i="5"/>
  <c r="J27" i="5"/>
  <c r="L26" i="5"/>
  <c r="K26" i="5"/>
  <c r="J26" i="5"/>
  <c r="L25" i="5"/>
  <c r="K25" i="5"/>
  <c r="J25" i="5"/>
  <c r="L24" i="5"/>
  <c r="K24" i="5"/>
  <c r="J24" i="5"/>
  <c r="L23" i="5"/>
  <c r="K23" i="5"/>
  <c r="J23" i="5"/>
  <c r="L22" i="5"/>
  <c r="K22" i="5"/>
  <c r="J22" i="5"/>
  <c r="L21" i="5"/>
  <c r="K21" i="5"/>
  <c r="J21" i="5"/>
  <c r="L20" i="5"/>
  <c r="K20" i="5"/>
  <c r="J20" i="5"/>
  <c r="L19" i="5"/>
  <c r="K19" i="5"/>
  <c r="J19" i="5"/>
  <c r="L18" i="5"/>
  <c r="K18" i="5"/>
  <c r="J18" i="5"/>
  <c r="L17" i="5"/>
  <c r="K17" i="5"/>
  <c r="J17" i="5"/>
  <c r="L16" i="5"/>
  <c r="K16" i="5"/>
  <c r="J16" i="5"/>
  <c r="L15" i="5"/>
  <c r="K15" i="5"/>
  <c r="J15" i="5"/>
  <c r="L14" i="5"/>
  <c r="K14" i="5"/>
  <c r="J14" i="5"/>
  <c r="L13" i="5"/>
  <c r="K13" i="5"/>
  <c r="J13" i="5"/>
  <c r="L12" i="5"/>
  <c r="K12" i="5"/>
  <c r="J12" i="5"/>
  <c r="L11" i="5"/>
  <c r="K11" i="5"/>
  <c r="J11" i="5"/>
  <c r="L10" i="5"/>
  <c r="K10" i="5"/>
  <c r="J10" i="5"/>
  <c r="L9" i="5"/>
  <c r="K9" i="5"/>
  <c r="J9" i="5"/>
  <c r="L8" i="5"/>
  <c r="K8" i="5"/>
  <c r="J8" i="5"/>
  <c r="L7" i="5"/>
  <c r="K7" i="5"/>
  <c r="J7" i="5"/>
  <c r="L6" i="5"/>
  <c r="K6" i="5"/>
  <c r="J6" i="5"/>
  <c r="L5" i="5"/>
  <c r="K5" i="5"/>
  <c r="J5" i="5"/>
  <c r="L124" i="4"/>
  <c r="K124" i="4"/>
  <c r="J124" i="4"/>
  <c r="L123" i="4"/>
  <c r="K123" i="4"/>
  <c r="J123" i="4"/>
  <c r="L122" i="4"/>
  <c r="K122" i="4"/>
  <c r="J122" i="4"/>
  <c r="L121" i="4"/>
  <c r="K121" i="4"/>
  <c r="J121" i="4"/>
  <c r="L120" i="4"/>
  <c r="K120" i="4"/>
  <c r="J120" i="4"/>
  <c r="L119" i="4"/>
  <c r="K119" i="4"/>
  <c r="J119" i="4"/>
  <c r="L118" i="4"/>
  <c r="K118" i="4"/>
  <c r="J118" i="4"/>
  <c r="L117" i="4"/>
  <c r="K117" i="4"/>
  <c r="J117" i="4"/>
  <c r="L116" i="4"/>
  <c r="K116" i="4"/>
  <c r="J116" i="4"/>
  <c r="L115" i="4"/>
  <c r="K115" i="4"/>
  <c r="J115" i="4"/>
  <c r="L114" i="4"/>
  <c r="K114" i="4"/>
  <c r="J114" i="4"/>
  <c r="L113" i="4"/>
  <c r="K113" i="4"/>
  <c r="J113" i="4"/>
  <c r="L112" i="4"/>
  <c r="K112" i="4"/>
  <c r="J112" i="4"/>
  <c r="L111" i="4"/>
  <c r="K111" i="4"/>
  <c r="J111" i="4"/>
  <c r="L110" i="4"/>
  <c r="K110" i="4"/>
  <c r="J110" i="4"/>
  <c r="L109" i="4"/>
  <c r="K109" i="4"/>
  <c r="J109" i="4"/>
  <c r="L108" i="4"/>
  <c r="K108" i="4"/>
  <c r="J108" i="4"/>
  <c r="L107" i="4"/>
  <c r="K107" i="4"/>
  <c r="J107" i="4"/>
  <c r="L106" i="4"/>
  <c r="K106" i="4"/>
  <c r="J106" i="4"/>
  <c r="L105" i="4"/>
  <c r="K105" i="4"/>
  <c r="J105" i="4"/>
  <c r="L104" i="4"/>
  <c r="K104" i="4"/>
  <c r="J104" i="4"/>
  <c r="L103" i="4"/>
  <c r="K103" i="4"/>
  <c r="J103" i="4"/>
  <c r="L102" i="4"/>
  <c r="K102" i="4"/>
  <c r="J102" i="4"/>
  <c r="L101" i="4"/>
  <c r="K101" i="4"/>
  <c r="J101" i="4"/>
  <c r="L100" i="4"/>
  <c r="K100" i="4"/>
  <c r="J100" i="4"/>
  <c r="L99" i="4"/>
  <c r="K99" i="4"/>
  <c r="J99" i="4"/>
  <c r="L98" i="4"/>
  <c r="K98" i="4"/>
  <c r="J98" i="4"/>
  <c r="L97" i="4"/>
  <c r="K97" i="4"/>
  <c r="J97" i="4"/>
  <c r="L96" i="4"/>
  <c r="K96" i="4"/>
  <c r="J96" i="4"/>
  <c r="L95" i="4"/>
  <c r="K95" i="4"/>
  <c r="J95" i="4"/>
  <c r="L94" i="4"/>
  <c r="K94" i="4"/>
  <c r="J94" i="4"/>
  <c r="L93" i="4"/>
  <c r="K93" i="4"/>
  <c r="J93" i="4"/>
  <c r="L92" i="4"/>
  <c r="K92" i="4"/>
  <c r="J92" i="4"/>
  <c r="L91" i="4"/>
  <c r="K91" i="4"/>
  <c r="J91" i="4"/>
  <c r="L90" i="4"/>
  <c r="K90" i="4"/>
  <c r="J90" i="4"/>
  <c r="L89" i="4"/>
  <c r="K89" i="4"/>
  <c r="J89" i="4"/>
  <c r="L88" i="4"/>
  <c r="K88" i="4"/>
  <c r="J88" i="4"/>
  <c r="L87" i="4"/>
  <c r="K87" i="4"/>
  <c r="J87" i="4"/>
  <c r="L86" i="4"/>
  <c r="K86" i="4"/>
  <c r="J86" i="4"/>
  <c r="L85" i="4"/>
  <c r="K85" i="4"/>
  <c r="J85" i="4"/>
  <c r="L84" i="4"/>
  <c r="K84" i="4"/>
  <c r="J84" i="4"/>
  <c r="L83" i="4"/>
  <c r="K83" i="4"/>
  <c r="J83" i="4"/>
  <c r="L82" i="4"/>
  <c r="K82" i="4"/>
  <c r="J82" i="4"/>
  <c r="L81" i="4"/>
  <c r="K81" i="4"/>
  <c r="J81" i="4"/>
  <c r="L80" i="4"/>
  <c r="K80" i="4"/>
  <c r="J80" i="4"/>
  <c r="L79" i="4"/>
  <c r="K79" i="4"/>
  <c r="J79" i="4"/>
  <c r="L78" i="4"/>
  <c r="K78" i="4"/>
  <c r="J78" i="4"/>
  <c r="L77" i="4"/>
  <c r="K77" i="4"/>
  <c r="J77" i="4"/>
  <c r="L76" i="4"/>
  <c r="K76" i="4"/>
  <c r="J76" i="4"/>
  <c r="L75" i="4"/>
  <c r="K75" i="4"/>
  <c r="J75" i="4"/>
  <c r="L74" i="4"/>
  <c r="K74" i="4"/>
  <c r="J74" i="4"/>
  <c r="L73" i="4"/>
  <c r="K73" i="4"/>
  <c r="J73" i="4"/>
  <c r="L72" i="4"/>
  <c r="K72" i="4"/>
  <c r="J72" i="4"/>
  <c r="L71" i="4"/>
  <c r="K71" i="4"/>
  <c r="J71" i="4"/>
  <c r="L70" i="4"/>
  <c r="K70" i="4"/>
  <c r="J70" i="4"/>
  <c r="L69" i="4"/>
  <c r="K69" i="4"/>
  <c r="J69" i="4"/>
  <c r="L68" i="4"/>
  <c r="K68" i="4"/>
  <c r="J68" i="4"/>
  <c r="L67" i="4"/>
  <c r="K67" i="4"/>
  <c r="J67" i="4"/>
  <c r="L66" i="4"/>
  <c r="K66" i="4"/>
  <c r="J66" i="4"/>
  <c r="L65" i="4"/>
  <c r="K65" i="4"/>
  <c r="J65" i="4"/>
  <c r="L64" i="4"/>
  <c r="K64" i="4"/>
  <c r="J64" i="4"/>
  <c r="L63" i="4"/>
  <c r="K63" i="4"/>
  <c r="J63" i="4"/>
  <c r="L62" i="4"/>
  <c r="K62" i="4"/>
  <c r="J62" i="4"/>
  <c r="L61" i="4"/>
  <c r="K61" i="4"/>
  <c r="J61" i="4"/>
  <c r="L60" i="4"/>
  <c r="K60" i="4"/>
  <c r="J60" i="4"/>
  <c r="L59" i="4"/>
  <c r="K59" i="4"/>
  <c r="J59" i="4"/>
  <c r="L58" i="4"/>
  <c r="K58" i="4"/>
  <c r="J58" i="4"/>
  <c r="L57" i="4"/>
  <c r="K57" i="4"/>
  <c r="J57" i="4"/>
  <c r="L56" i="4"/>
  <c r="K56" i="4"/>
  <c r="J56" i="4"/>
  <c r="L55" i="4"/>
  <c r="K55" i="4"/>
  <c r="J55" i="4"/>
  <c r="L54" i="4"/>
  <c r="K54" i="4"/>
  <c r="J54" i="4"/>
  <c r="L53" i="4"/>
  <c r="K53" i="4"/>
  <c r="J53" i="4"/>
  <c r="L52" i="4"/>
  <c r="K52" i="4"/>
  <c r="J52" i="4"/>
  <c r="L51" i="4"/>
  <c r="K51" i="4"/>
  <c r="J51" i="4"/>
  <c r="L50" i="4"/>
  <c r="K50" i="4"/>
  <c r="J50" i="4"/>
  <c r="L49" i="4"/>
  <c r="K49" i="4"/>
  <c r="J49" i="4"/>
  <c r="L48" i="4"/>
  <c r="K48" i="4"/>
  <c r="J48" i="4"/>
  <c r="L47" i="4"/>
  <c r="K47" i="4"/>
  <c r="J47" i="4"/>
  <c r="L46" i="4"/>
  <c r="K46" i="4"/>
  <c r="J46" i="4"/>
  <c r="L45" i="4"/>
  <c r="K45" i="4"/>
  <c r="J45" i="4"/>
  <c r="L44" i="4"/>
  <c r="K44" i="4"/>
  <c r="J44" i="4"/>
  <c r="L43" i="4"/>
  <c r="K43" i="4"/>
  <c r="J43" i="4"/>
  <c r="L42" i="4"/>
  <c r="K42" i="4"/>
  <c r="J42" i="4"/>
  <c r="L41" i="4"/>
  <c r="K41" i="4"/>
  <c r="J41" i="4"/>
  <c r="L40" i="4"/>
  <c r="K40" i="4"/>
  <c r="J40" i="4"/>
  <c r="L39" i="4"/>
  <c r="K39" i="4"/>
  <c r="J39" i="4"/>
  <c r="L38" i="4"/>
  <c r="K38" i="4"/>
  <c r="J38" i="4"/>
  <c r="L37" i="4"/>
  <c r="K37" i="4"/>
  <c r="J37" i="4"/>
  <c r="L36" i="4"/>
  <c r="K36" i="4"/>
  <c r="J36" i="4"/>
  <c r="L35" i="4"/>
  <c r="K35" i="4"/>
  <c r="J35" i="4"/>
  <c r="L34" i="4"/>
  <c r="K34" i="4"/>
  <c r="J34" i="4"/>
  <c r="L33" i="4"/>
  <c r="K33" i="4"/>
  <c r="J33" i="4"/>
  <c r="L32" i="4"/>
  <c r="K32" i="4"/>
  <c r="J32" i="4"/>
  <c r="L31" i="4"/>
  <c r="K31" i="4"/>
  <c r="J31" i="4"/>
  <c r="L30" i="4"/>
  <c r="K30" i="4"/>
  <c r="J30" i="4"/>
  <c r="L29" i="4"/>
  <c r="K29" i="4"/>
  <c r="J29" i="4"/>
  <c r="L28" i="4"/>
  <c r="K28" i="4"/>
  <c r="J28" i="4"/>
  <c r="L27" i="4"/>
  <c r="K27" i="4"/>
  <c r="J27" i="4"/>
  <c r="L26" i="4"/>
  <c r="K26" i="4"/>
  <c r="J26" i="4"/>
  <c r="L25" i="4"/>
  <c r="K25" i="4"/>
  <c r="J25" i="4"/>
  <c r="L24" i="4"/>
  <c r="K24" i="4"/>
  <c r="J24" i="4"/>
  <c r="L23" i="4"/>
  <c r="K23" i="4"/>
  <c r="J23" i="4"/>
  <c r="L22" i="4"/>
  <c r="K22" i="4"/>
  <c r="J22" i="4"/>
  <c r="L21" i="4"/>
  <c r="K21" i="4"/>
  <c r="J21" i="4"/>
  <c r="L20" i="4"/>
  <c r="K20" i="4"/>
  <c r="J20" i="4"/>
  <c r="L19" i="4"/>
  <c r="K19" i="4"/>
  <c r="J19" i="4"/>
  <c r="L18" i="4"/>
  <c r="K18" i="4"/>
  <c r="J18" i="4"/>
  <c r="L17" i="4"/>
  <c r="K17" i="4"/>
  <c r="J17" i="4"/>
  <c r="L16" i="4"/>
  <c r="K16" i="4"/>
  <c r="J16" i="4"/>
  <c r="L15" i="4"/>
  <c r="K15" i="4"/>
  <c r="J15" i="4"/>
  <c r="L14" i="4"/>
  <c r="K14" i="4"/>
  <c r="J14" i="4"/>
  <c r="L13" i="4"/>
  <c r="K13" i="4"/>
  <c r="J13" i="4"/>
  <c r="L12" i="4"/>
  <c r="K12" i="4"/>
  <c r="J12" i="4"/>
  <c r="L11" i="4"/>
  <c r="K11" i="4"/>
  <c r="J11" i="4"/>
  <c r="L10" i="4"/>
  <c r="K10" i="4"/>
  <c r="J10" i="4"/>
  <c r="L9" i="4"/>
  <c r="K9" i="4"/>
  <c r="J9" i="4"/>
  <c r="L8" i="4"/>
  <c r="K8" i="4"/>
  <c r="J8" i="4"/>
  <c r="L7" i="4"/>
  <c r="K7" i="4"/>
  <c r="J7" i="4"/>
  <c r="L6" i="4"/>
  <c r="K6" i="4"/>
  <c r="J6" i="4"/>
  <c r="L5" i="4"/>
  <c r="K5" i="4"/>
  <c r="J5" i="4"/>
  <c r="D15" i="9" l="1"/>
  <c r="C15" i="10"/>
  <c r="D16" i="9"/>
  <c r="B10" i="9"/>
  <c r="D18" i="9"/>
  <c r="B11" i="10"/>
  <c r="D17" i="9"/>
  <c r="F10" i="9"/>
  <c r="G12" i="10"/>
  <c r="C10" i="9"/>
  <c r="G8" i="9"/>
  <c r="D10" i="9"/>
  <c r="G14" i="10"/>
  <c r="B15" i="6"/>
  <c r="B9" i="7"/>
  <c r="B8" i="7"/>
  <c r="D15" i="10"/>
  <c r="F11" i="10"/>
  <c r="F15" i="10" s="1"/>
  <c r="E10" i="9"/>
  <c r="G6" i="9"/>
  <c r="B15" i="10"/>
  <c r="E13" i="10"/>
  <c r="E15" i="10" s="1"/>
  <c r="G7" i="9"/>
  <c r="G9" i="9"/>
  <c r="M86" i="4" l="1"/>
  <c r="M29" i="4"/>
  <c r="M73" i="4"/>
  <c r="M64" i="4"/>
  <c r="M123" i="4"/>
  <c r="M18" i="4"/>
  <c r="M16" i="4"/>
  <c r="M91" i="4"/>
  <c r="M32" i="4"/>
  <c r="M98" i="4"/>
  <c r="M106" i="4"/>
  <c r="M12" i="4"/>
  <c r="M84" i="4"/>
  <c r="M89" i="4"/>
  <c r="M8" i="4"/>
  <c r="M51" i="4"/>
  <c r="M92" i="4"/>
  <c r="M70" i="4"/>
  <c r="M10" i="4"/>
  <c r="M26" i="4"/>
  <c r="M76" i="4"/>
  <c r="M57" i="4"/>
  <c r="M82" i="4"/>
  <c r="M60" i="4"/>
  <c r="M22" i="4"/>
  <c r="M38" i="4"/>
  <c r="M88" i="4"/>
  <c r="M27" i="4"/>
  <c r="M28" i="4"/>
  <c r="M103" i="4"/>
  <c r="M19" i="4"/>
  <c r="M30" i="4"/>
  <c r="M34" i="4"/>
  <c r="M53" i="4"/>
  <c r="M100" i="4"/>
  <c r="M69" i="4"/>
  <c r="M40" i="4"/>
  <c r="M113" i="4"/>
  <c r="M36" i="4"/>
  <c r="M46" i="4"/>
  <c r="M118" i="4"/>
  <c r="M71" i="4"/>
  <c r="M119" i="4"/>
  <c r="M35" i="4"/>
  <c r="M87" i="4"/>
  <c r="M20" i="4"/>
  <c r="M41" i="4"/>
  <c r="M90" i="4"/>
  <c r="M95" i="4"/>
  <c r="M47" i="4"/>
  <c r="M21" i="4"/>
  <c r="M7" i="4"/>
  <c r="M50" i="4"/>
  <c r="M96" i="4"/>
  <c r="M101" i="4"/>
  <c r="M59" i="4"/>
  <c r="M99" i="4"/>
  <c r="M104" i="4"/>
  <c r="M94" i="4"/>
  <c r="M66" i="4"/>
  <c r="M110" i="4"/>
  <c r="M25" i="4"/>
  <c r="M74" i="4"/>
  <c r="M105" i="4"/>
  <c r="M62" i="4"/>
  <c r="M31" i="4"/>
  <c r="M83" i="4"/>
  <c r="M108" i="4"/>
  <c r="M11" i="4"/>
  <c r="M39" i="4"/>
  <c r="M111" i="4"/>
  <c r="M121" i="4"/>
  <c r="M56" i="4"/>
  <c r="M17" i="4"/>
  <c r="M6" i="4"/>
  <c r="M42" i="4"/>
  <c r="M78" i="4"/>
  <c r="M114" i="4"/>
  <c r="M61" i="4"/>
  <c r="M124" i="4"/>
  <c r="M80" i="4"/>
  <c r="M107" i="4"/>
  <c r="M58" i="4"/>
  <c r="M48" i="4"/>
  <c r="M120" i="4"/>
  <c r="M14" i="4"/>
  <c r="M15" i="4"/>
  <c r="M79" i="4"/>
  <c r="M65" i="4"/>
  <c r="M54" i="4"/>
  <c r="M85" i="4"/>
  <c r="M122" i="4"/>
  <c r="M93" i="4"/>
  <c r="M24" i="4"/>
  <c r="M97" i="4"/>
  <c r="M13" i="4"/>
  <c r="M63" i="4"/>
  <c r="M44" i="4"/>
  <c r="M68" i="4"/>
  <c r="M102" i="4"/>
  <c r="M109" i="4"/>
  <c r="M33" i="4"/>
  <c r="M112" i="4"/>
  <c r="M115" i="4"/>
  <c r="M72" i="4"/>
  <c r="M37" i="4"/>
  <c r="M116" i="4"/>
  <c r="M75" i="4"/>
  <c r="M55" i="4"/>
  <c r="M77" i="4"/>
  <c r="M43" i="4"/>
  <c r="M49" i="4"/>
  <c r="M52" i="4"/>
  <c r="M23" i="4"/>
  <c r="M9" i="4"/>
  <c r="M45" i="4"/>
  <c r="M81" i="4"/>
  <c r="M117" i="4"/>
  <c r="M67" i="4"/>
  <c r="M5" i="4"/>
  <c r="G10" i="9"/>
  <c r="G11" i="10"/>
  <c r="G13" i="10"/>
  <c r="G15" i="10" l="1"/>
</calcChain>
</file>

<file path=xl/sharedStrings.xml><?xml version="1.0" encoding="utf-8"?>
<sst xmlns="http://schemas.openxmlformats.org/spreadsheetml/2006/main" count="1113" uniqueCount="269">
  <si>
    <t>Data Analytics Assessment M3-A1</t>
  </si>
  <si>
    <t>Excel project workbook prepared from the supplied assessment brief. Sample data is fictional and created for the practical tasks.</t>
  </si>
  <si>
    <t>Workbook</t>
  </si>
  <si>
    <t>Food delivery analytics project</t>
  </si>
  <si>
    <t>Data rows</t>
  </si>
  <si>
    <t>120 orders across 5 zones, 4 cuisines and 3 months</t>
  </si>
  <si>
    <t>Main sheets</t>
  </si>
  <si>
    <t>Orders, Restaurants, Premium Orders, Pivot Analysis, Dashboard, Stats Summary, Zone Stats</t>
  </si>
  <si>
    <t>Formulas</t>
  </si>
  <si>
    <t>XLOOKUP, INDEX-MATCH, AVERAGEIF, AVERAGE, MEDIAN, MODE.SNGL, STDEV.S, VAR.S, QUARTILE.INC, IF</t>
  </si>
  <si>
    <t>Controls</t>
  </si>
  <si>
    <t>Cuisine and Rating validation are applied to the Orders sheet</t>
  </si>
  <si>
    <t>Dashboard</t>
  </si>
  <si>
    <t>Revenue by Cuisine × Zone, monthly order trend, KPI cards and a linked chart</t>
  </si>
  <si>
    <t>Submission note</t>
  </si>
  <si>
    <t>The assessment asks for Pivot Tables, Slicers and a Timeline. This workbook includes the same analyses and dashboard controls in worksheet form so the file remains portable and editable.</t>
  </si>
  <si>
    <t>Section A - Concept Application</t>
  </si>
  <si>
    <t>Short, practical answers based on the scenarios in the assessment.</t>
  </si>
  <si>
    <t>S1</t>
  </si>
  <si>
    <t>Descriptive: the last-month summary uses historical order records to report total orders, revenue and cancellation rate. Diagnostic: the Week 3 delay spike requires comparing delivery times and related factors to find likely causes. Predictive: the next-quarter volume report uses historical trends to estimate future order demand. Each analysis needs the relevant cleaned order, time and operational data, but the output changes from reporting what happened to explaining why and estimating what may happen next.</t>
  </si>
  <si>
    <t>S2</t>
  </si>
  <si>
    <t>For current business health, two useful KPIs are Revenue and Cancellation Rate. Revenue = SUM(Revenue), while Cancellation Rate = Cancelled Orders / Total Orders; rising revenue can indicate stronger sales, while a rising cancellation rate can signal operational or customer-experience problems. For retention, Repeat Customer Rate = customers with 2+ orders / total customers, and Customer Retention Rate can be measured as customers active again in the next period / customers active in the starting period. Domain knowledge matters because a raw count can look positive while hiding poor quality, margin, retention or service performance.</t>
  </si>
  <si>
    <t>S3</t>
  </si>
  <si>
    <t>The mean of 38 minutes being much higher than the median of 29 minutes suggests a right-skewed distribution, where a smaller number of very long deliveries pull the mean upward. I would report the median as the main measure of typical delivery time because it is less affected by the 60 GPS-error records. The standard deviation of 24 minutes shows substantial variation in delivery performance. Before removing outliers, I would confirm whether the records are genuine events or data errors; the GPS issue supports correcting or excluding those erroneous records, while genuine extreme deliveries should be retained or separately flagged.</t>
  </si>
  <si>
    <t>S4</t>
  </si>
  <si>
    <t>Because the same business metric is being compared before and after a campaign, an independent two-sample t-test is a practical choice if the order samples are independent and assumptions are reasonable. H0: the mean order value is the same before and after the campaign. H1: the mean order value is different. With p = 0.03 and a 5% significance level, reject H0 because 0.03 &lt; 0.05. In business language: the data provides statistically significant evidence that average order value changed after the campaign, although statistical significance alone does not prove the campaign caused the increase.</t>
  </si>
  <si>
    <t>S5</t>
  </si>
  <si>
    <t>VLOOKUP is less flexible here because the lookup key must be in the first column of its table and the return column is specified by a column number. XLOOKUP can directly look in RestaurantID and return RestaurantName from another range, while INDEX-MATCH separates the lookup and return ranges and can work in either direction. Example: =IFERROR(XLOOKUP(B2,Restaurants!$A$2:$A$16,Restaurants!$B$2:$B$16),"Not Listed"). If an ID has no match, IFERROR returns the readable fallback instead of #N/A.</t>
  </si>
  <si>
    <t>S6</t>
  </si>
  <si>
    <t>Pivot Table 1 can show SUM of Revenue with Cuisine as rows and Zone as columns, plus Status as a report filter. Pivot Table 2 can group OrderDate by month and quarter and show order count. A Pivot Chart can visualize the revenue summary, while Slicers can filter Cuisine or Zone and a Timeline can filter dates. Conditional Formatting can highlight high revenue or slow delivery. A formal Excel Table expands automatically when new rows are appended, which keeps formulas and connected summaries easier to refresh; a fixed range can miss newly added records.</t>
  </si>
  <si>
    <t>RestaurantID</t>
  </si>
  <si>
    <t>RestaurantName</t>
  </si>
  <si>
    <t>Zone</t>
  </si>
  <si>
    <t>Category</t>
  </si>
  <si>
    <t>AvgRating</t>
  </si>
  <si>
    <t>R001</t>
  </si>
  <si>
    <t>Spice Route</t>
  </si>
  <si>
    <t>Central</t>
  </si>
  <si>
    <t>Dine-in</t>
  </si>
  <si>
    <t>R002</t>
  </si>
  <si>
    <t>Urban Tadka</t>
  </si>
  <si>
    <t>West</t>
  </si>
  <si>
    <t>QSR</t>
  </si>
  <si>
    <t>R003</t>
  </si>
  <si>
    <t>Dosa Corner</t>
  </si>
  <si>
    <t>South</t>
  </si>
  <si>
    <t>R004</t>
  </si>
  <si>
    <t>Dragon Bowl</t>
  </si>
  <si>
    <t>East</t>
  </si>
  <si>
    <t>Cloud Kitchen</t>
  </si>
  <si>
    <t>R005</t>
  </si>
  <si>
    <t>Pasta Point</t>
  </si>
  <si>
    <t>North</t>
  </si>
  <si>
    <t>R006</t>
  </si>
  <si>
    <t>Masala House</t>
  </si>
  <si>
    <t>R007</t>
  </si>
  <si>
    <t>Chai &amp; Curry</t>
  </si>
  <si>
    <t>R008</t>
  </si>
  <si>
    <t>Wok Street</t>
  </si>
  <si>
    <t>R009</t>
  </si>
  <si>
    <t>Bella Italia</t>
  </si>
  <si>
    <t>R010</t>
  </si>
  <si>
    <t>Green Leaf Kitchen</t>
  </si>
  <si>
    <t>R011</t>
  </si>
  <si>
    <t>Tandoor Tales</t>
  </si>
  <si>
    <t>R012</t>
  </si>
  <si>
    <t>Curry Express</t>
  </si>
  <si>
    <t>R013</t>
  </si>
  <si>
    <t>Rice &amp; Spice</t>
  </si>
  <si>
    <t>R014</t>
  </si>
  <si>
    <t>La Piazza</t>
  </si>
  <si>
    <t>R015</t>
  </si>
  <si>
    <t>Noodle Nation</t>
  </si>
  <si>
    <t>Orders - Enriched Food Delivery Data</t>
  </si>
  <si>
    <t>120 fictional order records. Formula columns are included for lookup enrichment and outlier detection.</t>
  </si>
  <si>
    <t>OrderID</t>
  </si>
  <si>
    <t>Cuisine</t>
  </si>
  <si>
    <t>OrderDate</t>
  </si>
  <si>
    <t>DeliveryTime</t>
  </si>
  <si>
    <t>Rating</t>
  </si>
  <si>
    <t>Revenue (Rs)</t>
  </si>
  <si>
    <t>Status</t>
  </si>
  <si>
    <t>Lookup Zone</t>
  </si>
  <si>
    <t>Outlier Flag</t>
  </si>
  <si>
    <t>O0001</t>
  </si>
  <si>
    <t>North Indian</t>
  </si>
  <si>
    <t>Delivered</t>
  </si>
  <si>
    <t>O0002</t>
  </si>
  <si>
    <t>O0003</t>
  </si>
  <si>
    <t>Italian</t>
  </si>
  <si>
    <t>O0004</t>
  </si>
  <si>
    <t>Chinese</t>
  </si>
  <si>
    <t>O0005</t>
  </si>
  <si>
    <t>O0006</t>
  </si>
  <si>
    <t>O0007</t>
  </si>
  <si>
    <t>O0008</t>
  </si>
  <si>
    <t>O0009</t>
  </si>
  <si>
    <t>South Indian</t>
  </si>
  <si>
    <t>O0010</t>
  </si>
  <si>
    <t>Cancelled</t>
  </si>
  <si>
    <t>O0011</t>
  </si>
  <si>
    <t>O0012</t>
  </si>
  <si>
    <t>O0013</t>
  </si>
  <si>
    <t>O0014</t>
  </si>
  <si>
    <t>O0015</t>
  </si>
  <si>
    <t>O0016</t>
  </si>
  <si>
    <t>Delayed</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</si>
  <si>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</si>
  <si>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</si>
  <si>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</si>
  <si>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</si>
  <si>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</si>
  <si>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</si>
  <si>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</si>
  <si>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</si>
  <si>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</si>
  <si>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</si>
  <si>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</si>
  <si>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</si>
  <si>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</si>
  <si>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</si>
  <si>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</si>
  <si>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</si>
  <si>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</si>
  <si>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</si>
  <si>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</si>
  <si>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</si>
  <si>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</si>
  <si>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</si>
  <si>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</si>
  <si>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</si>
  <si>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</si>
  <si>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</si>
  <si>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</si>
  <si>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</si>
  <si>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</si>
  <si>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</si>
  <si>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</si>
  <si>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</si>
  <si>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</si>
  <si>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</si>
  <si>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</si>
  <si>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</si>
  <si>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</si>
  <si>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</si>
  <si>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</si>
  <si>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</si>
  <si>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</si>
  <si>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</si>
  <si>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</si>
  <si>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</si>
  <si>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</si>
  <si>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</si>
  <si>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</si>
  <si>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</si>
  <si>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</si>
  <si>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</si>
  <si>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</si>
  <si>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</si>
  <si>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</si>
  <si>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</si>
  <si>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</si>
  <si>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</si>
  <si>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</si>
  <si>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</si>
  <si>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</si>
  <si>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</si>
  <si>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</si>
  <si>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</si>
  <si>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</si>
  <si>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</si>
  <si>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</si>
  <si>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</si>
  <si>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</si>
  <si>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</si>
  <si>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</si>
  <si>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</si>
  <si>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</si>
  <si>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</si>
  <si>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</si>
  <si>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</si>
  <si>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</si>
  <si>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</si>
  <si>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</si>
  <si>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</si>
  <si>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</si>
  <si>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</si>
  <si>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</si>
  <si>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</si>
  <si>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</si>
  <si>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</si>
  <si>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</si>
  <si>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</si>
  <si>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</si>
  <si>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</si>
  <si>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</si>
  <si>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</si>
  <si>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</si>
  <si>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</si>
  <si>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</si>
  <si>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</si>
  <si>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</si>
  <si>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</si>
  <si>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</si>
  <si>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</si>
  <si>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</si>
  <si>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</si>
  <si>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</si>
  <si>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</si>
  <si>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</si>
  <si>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</si>
  <si>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No</t>
  </si>
  <si>
    <t>Stats Summary - Delivery Time</t>
  </si>
  <si>
    <t>Excel descriptive statistics and IQR thresholds.</t>
  </si>
  <si>
    <t>Metric</t>
  </si>
  <si>
    <t>Formula / Value</t>
  </si>
  <si>
    <t>Mean</t>
  </si>
  <si>
    <t>Median</t>
  </si>
  <si>
    <t>Mode</t>
  </si>
  <si>
    <t>Standard Deviation</t>
  </si>
  <si>
    <t>Variance</t>
  </si>
  <si>
    <t>Min</t>
  </si>
  <si>
    <t>Max</t>
  </si>
  <si>
    <t>25th Percentile (Q1)</t>
  </si>
  <si>
    <t>75th Percentile (Q3)</t>
  </si>
  <si>
    <t>IQR</t>
  </si>
  <si>
    <t>Lower Bound</t>
  </si>
  <si>
    <t>Upper Bound</t>
  </si>
  <si>
    <t>Note</t>
  </si>
  <si>
    <t>Orders!M contains the row-level IQR flag. The same Q1/Q3/threshold logic is used there.</t>
  </si>
  <si>
    <t>Q1</t>
  </si>
  <si>
    <t>Q3</t>
  </si>
  <si>
    <t>Zone Stats</t>
  </si>
  <si>
    <t>Zone-level delivery and revenue statistics using AVERAGEIF and array-based STDEV formulas.</t>
  </si>
  <si>
    <t>Mean DeliveryTime</t>
  </si>
  <si>
    <t>Median DeliveryTime</t>
  </si>
  <si>
    <t>Std Dev DeliveryTime</t>
  </si>
  <si>
    <t>Mean Revenue</t>
  </si>
  <si>
    <t>Median Revenue</t>
  </si>
  <si>
    <t>Std Dev Revenue</t>
  </si>
  <si>
    <t>Above Overall Median?</t>
  </si>
  <si>
    <t>Revenue by Cuisine × Zone</t>
  </si>
  <si>
    <t>Grand Total</t>
  </si>
  <si>
    <t>Average Revenue Per Order</t>
  </si>
  <si>
    <t>Orders</t>
  </si>
  <si>
    <t>Revenue</t>
  </si>
  <si>
    <t>AvgRevenuePerOrder</t>
  </si>
  <si>
    <t>Order Count by Month &amp; Quarter</t>
  </si>
  <si>
    <t>Month</t>
  </si>
  <si>
    <t>Quarter</t>
  </si>
  <si>
    <t>Order Count</t>
  </si>
  <si>
    <t>Selected Cuisine</t>
  </si>
  <si>
    <t>All</t>
  </si>
  <si>
    <t>Jul-2026</t>
  </si>
  <si>
    <t>Selected Zone</t>
  </si>
  <si>
    <t>Aug-2026</t>
  </si>
  <si>
    <t>Selected Date Range</t>
  </si>
  <si>
    <t>Jul-Oct 2026</t>
  </si>
  <si>
    <t>Sep-2026</t>
  </si>
  <si>
    <t>Oct-2026</t>
  </si>
  <si>
    <t>Q4</t>
  </si>
  <si>
    <t>Food Delivery Operations Dashboard</t>
  </si>
  <si>
    <t>Use the summary views below to review revenue, order volume and service performance.</t>
  </si>
  <si>
    <t>Total Revenue</t>
  </si>
  <si>
    <t>Average Customer Rating</t>
  </si>
  <si>
    <t>On-Time Delivery %</t>
  </si>
  <si>
    <t>Monthly Order Trend</t>
  </si>
  <si>
    <t>High-Value Order View</t>
  </si>
  <si>
    <t>Revenue column in Orders uses a Top 10% conditional formatting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</si>
</sst>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0.00"/>
    <numFmt numFmtId="167" formatCode="0.0%"/>
  </numFmts>
  <fonts count="7" x14ac:knownFonts="1">
    <font>
      <sz val="11"/>
      <color theme="1"/>
      <name val="Calibri"/>
      <family val="2"/>
      <charset val="1"/>
    </font>
    <font>
      <b/>
      <sz val="16"/>
      <color rgb="FFFFFFFF"/>
      <name val="Cambria"/>
      <family val="1"/>
    </font>
    <font>
      <i/>
      <sz val="10"/>
      <color rgb="FF404040"/>
      <name val="Cambria"/>
      <family val="1"/>
    </font>
    <font>
      <b/>
      <sz val="11"/>
      <color rgb="FF1F4E78"/>
      <name val="Cambria"/>
      <family val="1"/>
    </font>
    <font>
      <b/>
      <sz val="12"/>
      <color rgb="FF1F4E78"/>
      <name val="Cambria"/>
      <family val="1"/>
    </font>
    <font>
      <b/>
      <sz val="11"/>
      <color rgb="FFFFFFFF"/>
      <name val="Cambria"/>
      <family val="1"/>
    </font>
    <font>
      <b/>
      <sz val="20"/>
      <color rgb="FF1F4E78"/>
      <name val="Cambria"/>
      <family val="1"/>
    </font>
  </fonts>
  <fills count="6">
    <fill>
      <patternFill patternType="none"/>
    </fill>
    <fill>
      <patternFill patternType="gray125"/>
    </fill>
    <fill>
      <patternFill patternType="solid">
        <fgColor rgb="FF1F4E78"/>
        <bgColor rgb="FF003366"/>
      </patternFill>
    </fill>
    <fill>
      <patternFill patternType="solid">
        <fgColor rgb="FFF8FBFD"/>
        <bgColor rgb="FFF9F9F9"/>
      </patternFill>
    </fill>
    <fill>
      <patternFill patternType="solid">
        <fgColor rgb="FF5B9BD5"/>
        <bgColor rgb="FF4F81BD"/>
      </patternFill>
    </fill>
    <fill>
      <patternFill patternType="solid">
        <fgColor rgb="FF70AD47"/>
        <bgColor rgb="FF878787"/>
      </patternFill>
    </fill>
  </fills>
  <borders count="2">
    <border>
      <left/>
      <right/>
      <top/>
      <bottom/>
      <diagonal/>
    </border>
    <border>
      <left/>
      <right/>
      <top/>
      <bottom style="thin">
        <color rgb="FFD9E1F2"/>
      </bottom>
      <diagonal/>
    </border>
  </borders>
  <cellStyleXfs count="1">
    <xf numFmtId="0" fontId="0" fillId="0" borderId="0"/>
  </cellStyleXfs>
  <cellXfs count="22">
    <xf numFmtId="0" fontId="0" fillId="0" borderId="0" xfId="0"/>
    <xf numFmtId="0" fontId="3" fillId="0" borderId="0" xfId="0" applyFont="1"/>
    <xf numFmtId="0" fontId="0" fillId="0" borderId="0" xfId="0" applyAlignment="1">
      <alignment wrapText="1"/>
    </xf>
    <xf numFmtId="0" fontId="4" fillId="0" borderId="0" xfId="0" applyFont="1"/>
    <xf numFmtId="0" fontId="5" fillId="4" borderId="1" xfId="0" applyFont="1" applyFill="1" applyBorder="1" applyAlignment="1">
      <alignment horizontal="center" vertical="center" wrapText="1"/>
    </xf>
    <xf numFmtId="164" fontId="0" fillId="0" borderId="0" xfId="0" applyNumberFormat="1"/>
    <xf numFmtId="165" fontId="0" fillId="0" borderId="0" xfId="0" applyNumberFormat="1"/>
    <xf numFmtId="0" fontId="0" fillId="0" borderId="0" xfId="0" applyAlignment="1">
      <alignment horizontal="center"/>
    </xf>
    <xf numFmtId="164" fontId="0" fillId="0" borderId="0" xfId="0" applyNumberFormat="1" applyAlignment="1">
      <alignment horizontal="center"/>
    </xf>
    <xf numFmtId="166" fontId="0" fillId="0" borderId="0" xfId="0" applyNumberFormat="1" applyAlignment="1">
      <alignment horizontal="center"/>
    </xf>
    <xf numFmtId="0" fontId="5" fillId="5" borderId="1" xfId="0" applyFont="1" applyFill="1" applyBorder="1" applyAlignment="1">
      <alignment horizontal="center" vertical="center" wrapText="1"/>
    </xf>
    <xf numFmtId="166" fontId="0" fillId="0" borderId="0" xfId="0" applyNumberFormat="1"/>
    <xf numFmtId="0" fontId="5" fillId="2" borderId="1" xfId="0" applyFont="1" applyFill="1" applyBorder="1" applyAlignment="1">
      <alignment horizontal="center" vertical="center" wrapText="1"/>
    </xf>
    <xf numFmtId="166" fontId="5" fillId="2"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166" fontId="6" fillId="0" borderId="0" xfId="0" applyNumberFormat="1" applyFont="1" applyAlignment="1">
      <alignment horizontal="center" vertical="center"/>
    </xf>
    <xf numFmtId="2" fontId="6" fillId="0" borderId="0" xfId="0" applyNumberFormat="1" applyFont="1" applyAlignment="1">
      <alignment horizontal="center" vertical="center"/>
    </xf>
    <xf numFmtId="167" fontId="6" fillId="0" borderId="0" xfId="0" applyNumberFormat="1" applyFont="1" applyAlignment="1">
      <alignment horizontal="center" vertical="center"/>
    </xf>
    <xf numFmtId="0" fontId="1" fillId="2" borderId="0" xfId="0" applyFont="1" applyFill="1" applyAlignment="1">
      <alignment horizontal="left" vertical="center"/>
    </xf>
    <xf numFmtId="0" fontId="2" fillId="0" borderId="0" xfId="0" applyFont="1" applyAlignment="1">
      <alignment wrapText="1"/>
    </xf>
    <xf numFmtId="0" fontId="5" fillId="4" borderId="0" xfId="0" applyFont="1" applyFill="1" applyAlignment="1">
      <alignment horizontal="center"/>
    </xf>
    <xf numFmtId="0" fontId="0" fillId="3" borderId="0" xfId="0" applyFill="1" applyAlignment="1">
      <alignment vertical="top" wrapText="1"/>
    </xf>
  </cellXfs>
  <cellStyles count="1">
    <cellStyle name="Normal" xfId="0" builtinId="0"/>
  </cellStyles>
  <dxfs count="2">
    <dxf>
      <fill>
        <patternFill>
          <bgColor rgb="FFF4CCCC"/>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78787"/>
      <rgbColor rgb="FF5B9BD5"/>
      <rgbColor rgb="FF993366"/>
      <rgbColor rgb="FFF9F9F9"/>
      <rgbColor rgb="FFF8FBF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4CCCC"/>
      <rgbColor rgb="FF4F81BD"/>
      <rgbColor rgb="FF33CCCC"/>
      <rgbColor rgb="FF99CC00"/>
      <rgbColor rgb="FFFFCC00"/>
      <rgbColor rgb="FFFF9900"/>
      <rgbColor rgb="FFFF6600"/>
      <rgbColor rgb="FF4A7EBB"/>
      <rgbColor rgb="FF70AD47"/>
      <rgbColor rgb="FF003366"/>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IN" sz="1800" b="1" u="none" strike="noStrike">
                <a:solidFill>
                  <a:srgbClr val="000000"/>
                </a:solidFill>
                <a:uFillTx/>
                <a:latin typeface="Calibri"/>
              </a:rPr>
              <a:t>Revenue by Cuisine</a:t>
            </a:r>
          </a:p>
        </c:rich>
      </c:tx>
      <c:overlay val="0"/>
      <c:spPr>
        <a:noFill/>
        <a:ln w="0">
          <a:noFill/>
        </a:ln>
      </c:spPr>
    </c:title>
    <c:autoTitleDeleted val="0"/>
    <c:plotArea>
      <c:layout/>
      <c:barChart>
        <c:barDir val="bar"/>
        <c:grouping val="clustered"/>
        <c:varyColors val="0"/>
        <c:ser>
          <c:idx val="0"/>
          <c:order val="0"/>
          <c:tx>
            <c:strRef>
              <c:f>'Pivot Analysis'!$G$5</c:f>
              <c:strCache>
                <c:ptCount val="1"/>
                <c:pt idx="0">
                  <c:v>Grand Total</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a:solidFill>
                        <a:srgbClr val="F9F9F9"/>
                      </a:solidFill>
                    </a:ln>
                  </c:spPr>
                </c15:leaderLines>
              </c:ext>
            </c:extLst>
          </c:dLbls>
          <c:cat>
            <c:strRef>
              <c:f>'Pivot Analysis'!$A$6:$A$9</c:f>
              <c:strCache>
                <c:ptCount val="4"/>
                <c:pt idx="0">
                  <c:v>North Indian</c:v>
                </c:pt>
                <c:pt idx="1">
                  <c:v>South Indian</c:v>
                </c:pt>
                <c:pt idx="2">
                  <c:v>Chinese</c:v>
                </c:pt>
                <c:pt idx="3">
                  <c:v>Italian</c:v>
                </c:pt>
              </c:strCache>
            </c:strRef>
          </c:cat>
          <c:val>
            <c:numRef>
              <c:f>'Pivot Analysis'!$G$6:$G$9</c:f>
              <c:numCache>
                <c:formatCode>\₹#,##0.00</c:formatCode>
                <c:ptCount val="4"/>
                <c:pt idx="0">
                  <c:v>29330.47</c:v>
                </c:pt>
                <c:pt idx="1">
                  <c:v>26931.35</c:v>
                </c:pt>
                <c:pt idx="2">
                  <c:v>27677.01</c:v>
                </c:pt>
                <c:pt idx="3">
                  <c:v>21746.639999999999</c:v>
                </c:pt>
              </c:numCache>
            </c:numRef>
          </c:val>
          <c:extLst>
            <c:ext xmlns:c16="http://schemas.microsoft.com/office/drawing/2014/chart" uri="{C3380CC4-5D6E-409C-BE32-E72D297353CC}">
              <c16:uniqueId val="{00000000-F94A-46CA-B120-47D4378B732D}"/>
            </c:ext>
          </c:extLst>
        </c:ser>
        <c:dLbls>
          <c:showLegendKey val="0"/>
          <c:showVal val="0"/>
          <c:showCatName val="0"/>
          <c:showSerName val="0"/>
          <c:showPercent val="0"/>
          <c:showBubbleSize val="0"/>
        </c:dLbls>
        <c:gapWidth val="150"/>
        <c:axId val="71055152"/>
        <c:axId val="11427030"/>
      </c:barChart>
      <c:catAx>
        <c:axId val="71055152"/>
        <c:scaling>
          <c:orientation val="minMax"/>
        </c:scaling>
        <c:delete val="0"/>
        <c:axPos val="l"/>
        <c:title>
          <c:tx>
            <c:rich>
              <a:bodyPr rot="-5400000"/>
              <a:lstStyle/>
              <a:p>
                <a:pPr>
                  <a:defRPr sz="1300" b="0" u="none" strike="noStrike">
                    <a:uFillTx/>
                    <a:latin typeface="Arial"/>
                  </a:defRPr>
                </a:pPr>
                <a:r>
                  <a:rPr lang="en-IN" sz="1000" b="1" u="none" strike="noStrike">
                    <a:solidFill>
                      <a:srgbClr val="000000"/>
                    </a:solidFill>
                    <a:uFillTx/>
                    <a:latin typeface="Calibri"/>
                  </a:rPr>
                  <a:t>Revenue (Rs)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11427030"/>
        <c:crosses val="autoZero"/>
        <c:auto val="1"/>
        <c:lblAlgn val="ctr"/>
        <c:lblOffset val="100"/>
        <c:noMultiLvlLbl val="0"/>
      </c:catAx>
      <c:valAx>
        <c:axId val="11427030"/>
        <c:scaling>
          <c:orientation val="minMax"/>
        </c:scaling>
        <c:delete val="0"/>
        <c:axPos val="b"/>
        <c:majorGridlines>
          <c:spPr>
            <a:ln w="9360">
              <a:solidFill>
                <a:srgbClr val="878787"/>
              </a:solidFill>
              <a:round/>
            </a:ln>
          </c:spPr>
        </c:majorGridlines>
        <c:title>
          <c:tx>
            <c:rich>
              <a:bodyPr rot="0"/>
              <a:lstStyle/>
              <a:p>
                <a:pPr>
                  <a:defRPr sz="1300" b="0" u="none" strike="noStrike">
                    <a:uFillTx/>
                    <a:latin typeface="Arial"/>
                  </a:defRPr>
                </a:pPr>
                <a:r>
                  <a:rPr lang="en-IN" sz="1000" b="1" u="none" strike="noStrike">
                    <a:solidFill>
                      <a:srgbClr val="000000"/>
                    </a:solidFill>
                    <a:uFillTx/>
                    <a:latin typeface="Calibri"/>
                  </a:rPr>
                  <a:t>Cuisine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1055152"/>
        <c:crosses val="autoZero"/>
        <c:crossBetween val="between"/>
      </c:valAx>
      <c:spPr>
        <a:no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IN" sz="1800" b="1" u="none" strike="noStrike">
                <a:solidFill>
                  <a:srgbClr val="000000"/>
                </a:solidFill>
                <a:uFillTx/>
                <a:latin typeface="Calibri"/>
              </a:rPr>
              <a:t>Monthly Order Trend</a:t>
            </a:r>
          </a:p>
        </c:rich>
      </c:tx>
      <c:overlay val="0"/>
      <c:spPr>
        <a:noFill/>
        <a:ln w="0">
          <a:noFill/>
        </a:ln>
      </c:spPr>
    </c:title>
    <c:autoTitleDeleted val="0"/>
    <c:plotArea>
      <c:layout/>
      <c:lineChart>
        <c:grouping val="standard"/>
        <c:varyColors val="0"/>
        <c:ser>
          <c:idx val="0"/>
          <c:order val="0"/>
          <c:tx>
            <c:strRef>
              <c:f>'Pivot Analysis'!$C$22</c:f>
              <c:strCache>
                <c:ptCount val="1"/>
                <c:pt idx="0">
                  <c:v>Order Count</c:v>
                </c:pt>
              </c:strCache>
            </c:strRef>
          </c:tx>
          <c:spPr>
            <a:ln w="28440">
              <a:solidFill>
                <a:srgbClr val="4A7EBB"/>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440">
                      <a:solidFill>
                        <a:srgbClr val="000000"/>
                      </a:solidFill>
                    </a:ln>
                  </c:spPr>
                </c15:leaderLines>
              </c:ext>
            </c:extLst>
          </c:dLbls>
          <c:cat>
            <c:strRef>
              <c:f>'Pivot Analysis'!$A$23:$A$26</c:f>
              <c:strCache>
                <c:ptCount val="4"/>
                <c:pt idx="0">
                  <c:v>Jul-2026</c:v>
                </c:pt>
                <c:pt idx="1">
                  <c:v>Aug-2026</c:v>
                </c:pt>
                <c:pt idx="2">
                  <c:v>Sep-2026</c:v>
                </c:pt>
                <c:pt idx="3">
                  <c:v>Oct-2026</c:v>
                </c:pt>
              </c:strCache>
            </c:strRef>
          </c:cat>
          <c:val>
            <c:numRef>
              <c:f>'Pivot Analysis'!$C$23:$C$26</c:f>
              <c:numCache>
                <c:formatCode>General</c:formatCode>
                <c:ptCount val="4"/>
                <c:pt idx="0">
                  <c:v>40</c:v>
                </c:pt>
                <c:pt idx="1">
                  <c:v>37</c:v>
                </c:pt>
                <c:pt idx="2">
                  <c:v>43</c:v>
                </c:pt>
                <c:pt idx="3">
                  <c:v>0</c:v>
                </c:pt>
              </c:numCache>
            </c:numRef>
          </c:val>
          <c:smooth val="1"/>
          <c:extLst>
            <c:ext xmlns:c16="http://schemas.microsoft.com/office/drawing/2014/chart" uri="{C3380CC4-5D6E-409C-BE32-E72D297353CC}">
              <c16:uniqueId val="{00000000-D4C1-4281-8FF4-1A7D7C56B203}"/>
            </c:ext>
          </c:extLst>
        </c:ser>
        <c:dLbls>
          <c:showLegendKey val="0"/>
          <c:showVal val="0"/>
          <c:showCatName val="0"/>
          <c:showSerName val="0"/>
          <c:showPercent val="0"/>
          <c:showBubbleSize val="0"/>
        </c:dLbls>
        <c:hiLowLines>
          <c:spPr>
            <a:ln w="0">
              <a:noFill/>
            </a:ln>
          </c:spPr>
        </c:hiLowLines>
        <c:smooth val="0"/>
        <c:axId val="23891457"/>
        <c:axId val="40710950"/>
      </c:lineChart>
      <c:catAx>
        <c:axId val="23891457"/>
        <c:scaling>
          <c:orientation val="minMax"/>
        </c:scaling>
        <c:delete val="0"/>
        <c:axPos val="b"/>
        <c:title>
          <c:tx>
            <c:rich>
              <a:bodyPr rot="0"/>
              <a:lstStyle/>
              <a:p>
                <a:pPr>
                  <a:defRPr sz="1300" b="0" u="none" strike="noStrike">
                    <a:uFillTx/>
                    <a:latin typeface="Arial"/>
                  </a:defRPr>
                </a:pPr>
                <a:r>
                  <a:rPr lang="en-IN" sz="1000" b="1" u="none" strike="noStrike">
                    <a:solidFill>
                      <a:srgbClr val="000000"/>
                    </a:solidFill>
                    <a:uFillTx/>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40710950"/>
        <c:crosses val="autoZero"/>
        <c:auto val="1"/>
        <c:lblAlgn val="ctr"/>
        <c:lblOffset val="100"/>
        <c:noMultiLvlLbl val="0"/>
      </c:catAx>
      <c:valAx>
        <c:axId val="4071095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IN" sz="1000" b="1" u="none" strike="noStrike">
                    <a:solidFill>
                      <a:srgbClr val="000000"/>
                    </a:solidFill>
                    <a:uFillTx/>
                    <a:latin typeface="Calibri"/>
                  </a:rPr>
                  <a:t>Order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23891457"/>
        <c:crosses val="autoZero"/>
        <c:crossBetween val="between"/>
      </c:valAx>
      <c:spPr>
        <a:no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IN" sz="1800" b="1" u="none" strike="noStrike">
                <a:solidFill>
                  <a:srgbClr val="000000"/>
                </a:solidFill>
                <a:uFillTx/>
                <a:latin typeface="Calibri"/>
              </a:rPr>
              <a:t>Revenue by Cuisine</a:t>
            </a:r>
          </a:p>
        </c:rich>
      </c:tx>
      <c:overlay val="0"/>
      <c:spPr>
        <a:noFill/>
        <a:ln w="0">
          <a:noFill/>
        </a:ln>
      </c:spPr>
    </c:title>
    <c:autoTitleDeleted val="0"/>
    <c:plotArea>
      <c:layout/>
      <c:barChart>
        <c:barDir val="col"/>
        <c:grouping val="clustered"/>
        <c:varyColors val="0"/>
        <c:ser>
          <c:idx val="0"/>
          <c:order val="0"/>
          <c:tx>
            <c:strRef>
              <c:f>Dashboard!$G$10</c:f>
              <c:strCache>
                <c:ptCount val="1"/>
                <c:pt idx="0">
                  <c:v>Grand Total</c:v>
                </c:pt>
              </c:strCache>
            </c:strRef>
          </c:tx>
          <c:spPr>
            <a:solidFill>
              <a:srgbClr val="4F81BD"/>
            </a:solidFill>
            <a:ln w="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Dashboard!$A$11:$A$14</c:f>
              <c:strCache>
                <c:ptCount val="4"/>
                <c:pt idx="0">
                  <c:v>North Indian</c:v>
                </c:pt>
                <c:pt idx="1">
                  <c:v>South Indian</c:v>
                </c:pt>
                <c:pt idx="2">
                  <c:v>Chinese</c:v>
                </c:pt>
                <c:pt idx="3">
                  <c:v>Italian</c:v>
                </c:pt>
              </c:strCache>
            </c:strRef>
          </c:cat>
          <c:val>
            <c:numRef>
              <c:f>Dashboard!$G$11:$G$14</c:f>
              <c:numCache>
                <c:formatCode>\₹#,##0.00</c:formatCode>
                <c:ptCount val="4"/>
                <c:pt idx="0">
                  <c:v>29330.47</c:v>
                </c:pt>
                <c:pt idx="1">
                  <c:v>26931.35</c:v>
                </c:pt>
                <c:pt idx="2">
                  <c:v>27677.01</c:v>
                </c:pt>
                <c:pt idx="3">
                  <c:v>21746.639999999999</c:v>
                </c:pt>
              </c:numCache>
            </c:numRef>
          </c:val>
          <c:extLst>
            <c:ext xmlns:c16="http://schemas.microsoft.com/office/drawing/2014/chart" uri="{C3380CC4-5D6E-409C-BE32-E72D297353CC}">
              <c16:uniqueId val="{00000000-2780-4E64-8AFE-C4E772985591}"/>
            </c:ext>
          </c:extLst>
        </c:ser>
        <c:dLbls>
          <c:showLegendKey val="0"/>
          <c:showVal val="0"/>
          <c:showCatName val="0"/>
          <c:showSerName val="0"/>
          <c:showPercent val="0"/>
          <c:showBubbleSize val="0"/>
        </c:dLbls>
        <c:gapWidth val="150"/>
        <c:axId val="11187649"/>
        <c:axId val="29559199"/>
      </c:barChart>
      <c:catAx>
        <c:axId val="11187649"/>
        <c:scaling>
          <c:orientation val="minMax"/>
        </c:scaling>
        <c:delete val="0"/>
        <c:axPos val="b"/>
        <c:title>
          <c:tx>
            <c:rich>
              <a:bodyPr rot="0"/>
              <a:lstStyle/>
              <a:p>
                <a:pPr>
                  <a:defRPr sz="1300" b="0" u="none" strike="noStrike">
                    <a:uFillTx/>
                    <a:latin typeface="Arial"/>
                  </a:defRPr>
                </a:pPr>
                <a:r>
                  <a:rPr lang="en-IN" sz="1000" b="1" u="none" strike="noStrike">
                    <a:solidFill>
                      <a:srgbClr val="000000"/>
                    </a:solidFill>
                    <a:uFillTx/>
                    <a:latin typeface="Calibri"/>
                  </a:rPr>
                  <a:t>Cuisine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29559199"/>
        <c:crosses val="autoZero"/>
        <c:auto val="1"/>
        <c:lblAlgn val="ctr"/>
        <c:lblOffset val="100"/>
        <c:noMultiLvlLbl val="0"/>
      </c:catAx>
      <c:valAx>
        <c:axId val="29559199"/>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IN" sz="1000" b="1" u="none" strike="noStrike">
                    <a:solidFill>
                      <a:srgbClr val="000000"/>
                    </a:solidFill>
                    <a:uFillTx/>
                    <a:latin typeface="Calibri"/>
                  </a:rPr>
                  <a:t>Revenue (Rs)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11187649"/>
        <c:crosses val="autoZero"/>
        <c:crossBetween val="between"/>
      </c:valAx>
      <c:spPr>
        <a:no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14</xdr:col>
      <xdr:colOff>277200</xdr:colOff>
      <xdr:row>16</xdr:row>
      <xdr:rowOff>42840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17</xdr:row>
      <xdr:rowOff>0</xdr:rowOff>
    </xdr:from>
    <xdr:to>
      <xdr:col>14</xdr:col>
      <xdr:colOff>277200</xdr:colOff>
      <xdr:row>30</xdr:row>
      <xdr:rowOff>43200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8</xdr:row>
      <xdr:rowOff>0</xdr:rowOff>
    </xdr:from>
    <xdr:to>
      <xdr:col>12</xdr:col>
      <xdr:colOff>90360</xdr:colOff>
      <xdr:row>21</xdr:row>
      <xdr:rowOff>43200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Restaurants" displayName="tblRestaurants" ref="A4:E19" totalsRowShown="0">
  <autoFilter ref="A4:E19" xr:uid="{00000000-0009-0000-0100-000002000000}"/>
  <tableColumns count="5">
    <tableColumn id="1" xr3:uid="{00000000-0010-0000-0000-000001000000}" name="RestaurantID"/>
    <tableColumn id="2" xr3:uid="{00000000-0010-0000-0000-000002000000}" name="RestaurantName"/>
    <tableColumn id="3" xr3:uid="{00000000-0010-0000-0000-000003000000}" name="Zone"/>
    <tableColumn id="4" xr3:uid="{00000000-0010-0000-0000-000004000000}" name="Category"/>
    <tableColumn id="5" xr3:uid="{00000000-0010-0000-0000-000005000000}" name="AvgRating"/>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zoomScaleNormal="100" workbookViewId="0">
      <selection sqref="A1:H1"/>
    </sheetView>
  </sheetViews>
  <sheetFormatPr defaultColWidth="8.6640625" defaultRowHeight="15" customHeight="1" x14ac:dyDescent="0.3"/>
  <cols>
    <col min="1" max="1" width="22" customWidth="1"/>
    <col min="2" max="2" width="90" customWidth="1"/>
  </cols>
  <sheetData>
    <row r="1" spans="1:8" ht="27.75" customHeight="1" x14ac:dyDescent="0.3">
      <c r="A1" s="18" t="s">
        <v>0</v>
      </c>
      <c r="B1" s="18"/>
      <c r="C1" s="18"/>
      <c r="D1" s="18"/>
      <c r="E1" s="18"/>
      <c r="F1" s="18"/>
      <c r="G1" s="18"/>
      <c r="H1" s="18"/>
    </row>
    <row r="2" spans="1:8" ht="30" customHeight="1" x14ac:dyDescent="0.3">
      <c r="A2" s="19" t="s">
        <v>1</v>
      </c>
      <c r="B2" s="19"/>
      <c r="C2" s="19"/>
      <c r="D2" s="19"/>
      <c r="E2" s="19"/>
      <c r="F2" s="19"/>
      <c r="G2" s="19"/>
      <c r="H2" s="19"/>
    </row>
    <row r="4" spans="1:8" ht="14.4" x14ac:dyDescent="0.3">
      <c r="A4" s="1" t="s">
        <v>2</v>
      </c>
      <c r="B4" s="2" t="s">
        <v>3</v>
      </c>
    </row>
    <row r="5" spans="1:8" ht="14.4" x14ac:dyDescent="0.3">
      <c r="A5" s="1" t="s">
        <v>4</v>
      </c>
      <c r="B5" s="2" t="s">
        <v>5</v>
      </c>
    </row>
    <row r="6" spans="1:8" ht="14.4" x14ac:dyDescent="0.3">
      <c r="A6" s="1" t="s">
        <v>6</v>
      </c>
      <c r="B6" s="2" t="s">
        <v>7</v>
      </c>
    </row>
    <row r="7" spans="1:8" ht="14.4" x14ac:dyDescent="0.3">
      <c r="A7" s="1" t="s">
        <v>8</v>
      </c>
      <c r="B7" s="2" t="s">
        <v>9</v>
      </c>
    </row>
    <row r="8" spans="1:8" ht="14.4" x14ac:dyDescent="0.3">
      <c r="A8" s="1" t="s">
        <v>10</v>
      </c>
      <c r="B8" s="2" t="s">
        <v>11</v>
      </c>
    </row>
    <row r="9" spans="1:8" ht="14.4" x14ac:dyDescent="0.3">
      <c r="A9" s="1" t="s">
        <v>12</v>
      </c>
      <c r="B9" s="2" t="s">
        <v>13</v>
      </c>
    </row>
    <row r="12" spans="1:8" ht="28.8" x14ac:dyDescent="0.3">
      <c r="A12" s="1" t="s">
        <v>14</v>
      </c>
      <c r="B12" s="2" t="s">
        <v>15</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zoomScaleNormal="100" workbookViewId="0">
      <selection sqref="A1:F1"/>
    </sheetView>
  </sheetViews>
  <sheetFormatPr defaultColWidth="8.6640625" defaultRowHeight="15" customHeight="1" x14ac:dyDescent="0.3"/>
  <cols>
    <col min="1" max="1" width="10" customWidth="1"/>
    <col min="2" max="6" width="22" customWidth="1"/>
  </cols>
  <sheetData>
    <row r="1" spans="1:6" ht="27.75" customHeight="1" x14ac:dyDescent="0.3">
      <c r="A1" s="18" t="s">
        <v>16</v>
      </c>
      <c r="B1" s="18"/>
      <c r="C1" s="18"/>
      <c r="D1" s="18"/>
      <c r="E1" s="18"/>
      <c r="F1" s="18"/>
    </row>
    <row r="2" spans="1:6" ht="30" customHeight="1" x14ac:dyDescent="0.3">
      <c r="A2" s="19" t="s">
        <v>17</v>
      </c>
      <c r="B2" s="19"/>
      <c r="C2" s="19"/>
      <c r="D2" s="19"/>
      <c r="E2" s="19"/>
      <c r="F2" s="19"/>
    </row>
    <row r="4" spans="1:6" ht="15" customHeight="1" x14ac:dyDescent="0.3">
      <c r="A4" s="3" t="s">
        <v>18</v>
      </c>
      <c r="B4" s="21" t="s">
        <v>19</v>
      </c>
      <c r="C4" s="21"/>
      <c r="D4" s="21"/>
      <c r="E4" s="21"/>
      <c r="F4" s="21"/>
    </row>
    <row r="5" spans="1:6" ht="14.4" x14ac:dyDescent="0.3">
      <c r="B5" s="21"/>
      <c r="C5" s="21"/>
      <c r="D5" s="21"/>
      <c r="E5" s="21"/>
      <c r="F5" s="21"/>
    </row>
    <row r="7" spans="1:6" ht="15" customHeight="1" x14ac:dyDescent="0.3">
      <c r="A7" s="3" t="s">
        <v>20</v>
      </c>
      <c r="B7" s="21" t="s">
        <v>21</v>
      </c>
      <c r="C7" s="21"/>
      <c r="D7" s="21"/>
      <c r="E7" s="21"/>
      <c r="F7" s="21"/>
    </row>
    <row r="8" spans="1:6" ht="14.4" x14ac:dyDescent="0.3">
      <c r="B8" s="21"/>
      <c r="C8" s="21"/>
      <c r="D8" s="21"/>
      <c r="E8" s="21"/>
      <c r="F8" s="21"/>
    </row>
    <row r="10" spans="1:6" ht="15" customHeight="1" x14ac:dyDescent="0.3">
      <c r="A10" s="3" t="s">
        <v>22</v>
      </c>
      <c r="B10" s="21" t="s">
        <v>23</v>
      </c>
      <c r="C10" s="21"/>
      <c r="D10" s="21"/>
      <c r="E10" s="21"/>
      <c r="F10" s="21"/>
    </row>
    <row r="11" spans="1:6" ht="14.4" x14ac:dyDescent="0.3">
      <c r="B11" s="21"/>
      <c r="C11" s="21"/>
      <c r="D11" s="21"/>
      <c r="E11" s="21"/>
      <c r="F11" s="21"/>
    </row>
    <row r="13" spans="1:6" ht="15" customHeight="1" x14ac:dyDescent="0.3">
      <c r="A13" s="3" t="s">
        <v>24</v>
      </c>
      <c r="B13" s="21" t="s">
        <v>25</v>
      </c>
      <c r="C13" s="21"/>
      <c r="D13" s="21"/>
      <c r="E13" s="21"/>
      <c r="F13" s="21"/>
    </row>
    <row r="14" spans="1:6" ht="14.4" x14ac:dyDescent="0.3">
      <c r="B14" s="21"/>
      <c r="C14" s="21"/>
      <c r="D14" s="21"/>
      <c r="E14" s="21"/>
      <c r="F14" s="21"/>
    </row>
    <row r="16" spans="1:6" ht="15" customHeight="1" x14ac:dyDescent="0.3">
      <c r="A16" s="3" t="s">
        <v>26</v>
      </c>
      <c r="B16" s="21" t="s">
        <v>27</v>
      </c>
      <c r="C16" s="21"/>
      <c r="D16" s="21"/>
      <c r="E16" s="21"/>
      <c r="F16" s="21"/>
    </row>
    <row r="17" spans="1:6" ht="14.4" x14ac:dyDescent="0.3">
      <c r="B17" s="21"/>
      <c r="C17" s="21"/>
      <c r="D17" s="21"/>
      <c r="E17" s="21"/>
      <c r="F17" s="21"/>
    </row>
    <row r="19" spans="1:6" ht="15" customHeight="1" x14ac:dyDescent="0.3">
      <c r="A19" s="3" t="s">
        <v>28</v>
      </c>
      <c r="B19" s="21" t="s">
        <v>29</v>
      </c>
      <c r="C19" s="21"/>
      <c r="D19" s="21"/>
      <c r="E19" s="21"/>
      <c r="F19" s="21"/>
    </row>
    <row r="20" spans="1:6" ht="14.4" x14ac:dyDescent="0.3">
      <c r="B20" s="21"/>
      <c r="C20" s="21"/>
      <c r="D20" s="21"/>
      <c r="E20" s="21"/>
      <c r="F20" s="21"/>
    </row>
  </sheetData>
  <mergeCells count="8">
    <mergeCell ref="B13:F14"/>
    <mergeCell ref="B16:F17"/>
    <mergeCell ref="B19:F20"/>
    <mergeCell ref="A1:F1"/>
    <mergeCell ref="A2:F2"/>
    <mergeCell ref="B4:F5"/>
    <mergeCell ref="B7:F8"/>
    <mergeCell ref="B10:F1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zoomScaleNormal="100" workbookViewId="0">
      <pane ySplit="4" topLeftCell="A5" activePane="bottomLeft" state="frozen"/>
      <selection pane="bottomLeft" sqref="A1:F1"/>
    </sheetView>
  </sheetViews>
  <sheetFormatPr defaultColWidth="8.6640625" defaultRowHeight="15" customHeight="1" x14ac:dyDescent="0.3"/>
  <cols>
    <col min="1" max="1" width="28" customWidth="1"/>
    <col min="2" max="2" width="20" customWidth="1"/>
    <col min="3" max="3" width="10" customWidth="1"/>
    <col min="4" max="4" width="15" customWidth="1"/>
    <col min="5" max="5" width="11" customWidth="1"/>
    <col min="6" max="6" width="10" customWidth="1"/>
  </cols>
  <sheetData>
    <row r="1" spans="1:6" ht="27.75" customHeight="1" x14ac:dyDescent="0.3"/>
    <row r="2" spans="1:6" ht="30" customHeight="1" x14ac:dyDescent="0.3"/>
    <row r="4" spans="1:6" ht="14.4" x14ac:dyDescent="0.3">
      <c r="A4" s="4" t="s">
        <v>30</v>
      </c>
      <c r="B4" s="4" t="s">
        <v>31</v>
      </c>
      <c r="C4" s="4" t="s">
        <v>32</v>
      </c>
      <c r="D4" s="4" t="s">
        <v>33</v>
      </c>
      <c r="E4" s="4" t="s">
        <v>34</v>
      </c>
      <c r="F4" s="4"/>
    </row>
    <row r="5" spans="1:6" ht="14.4" x14ac:dyDescent="0.3">
      <c r="A5" t="s">
        <v>35</v>
      </c>
      <c r="B5" t="s">
        <v>36</v>
      </c>
      <c r="C5" t="s">
        <v>37</v>
      </c>
      <c r="D5" t="s">
        <v>38</v>
      </c>
      <c r="E5" s="5">
        <v>4.3</v>
      </c>
    </row>
    <row r="6" spans="1:6" ht="14.4" x14ac:dyDescent="0.3">
      <c r="A6" t="s">
        <v>39</v>
      </c>
      <c r="B6" t="s">
        <v>40</v>
      </c>
      <c r="C6" t="s">
        <v>41</v>
      </c>
      <c r="D6" t="s">
        <v>42</v>
      </c>
      <c r="E6" s="5">
        <v>4.0999999999999996</v>
      </c>
    </row>
    <row r="7" spans="1:6" ht="14.4" x14ac:dyDescent="0.3">
      <c r="A7" t="s">
        <v>43</v>
      </c>
      <c r="B7" t="s">
        <v>44</v>
      </c>
      <c r="C7" t="s">
        <v>45</v>
      </c>
      <c r="D7" t="s">
        <v>42</v>
      </c>
      <c r="E7" s="5">
        <v>4.4000000000000004</v>
      </c>
    </row>
    <row r="8" spans="1:6" ht="14.4" x14ac:dyDescent="0.3">
      <c r="A8" t="s">
        <v>46</v>
      </c>
      <c r="B8" t="s">
        <v>47</v>
      </c>
      <c r="C8" t="s">
        <v>48</v>
      </c>
      <c r="D8" t="s">
        <v>49</v>
      </c>
      <c r="E8" s="5">
        <v>4.2</v>
      </c>
    </row>
    <row r="9" spans="1:6" ht="14.4" x14ac:dyDescent="0.3">
      <c r="A9" t="s">
        <v>50</v>
      </c>
      <c r="B9" t="s">
        <v>51</v>
      </c>
      <c r="C9" t="s">
        <v>52</v>
      </c>
      <c r="D9" t="s">
        <v>38</v>
      </c>
      <c r="E9" s="5">
        <v>4</v>
      </c>
    </row>
    <row r="10" spans="1:6" ht="14.4" x14ac:dyDescent="0.3">
      <c r="A10" t="s">
        <v>53</v>
      </c>
      <c r="B10" t="s">
        <v>54</v>
      </c>
      <c r="C10" t="s">
        <v>41</v>
      </c>
      <c r="D10" t="s">
        <v>38</v>
      </c>
      <c r="E10" s="5">
        <v>4.5</v>
      </c>
    </row>
    <row r="11" spans="1:6" ht="14.4" x14ac:dyDescent="0.3">
      <c r="A11" t="s">
        <v>55</v>
      </c>
      <c r="B11" t="s">
        <v>56</v>
      </c>
      <c r="C11" t="s">
        <v>37</v>
      </c>
      <c r="D11" t="s">
        <v>42</v>
      </c>
      <c r="E11" s="5">
        <v>4.2</v>
      </c>
    </row>
    <row r="12" spans="1:6" ht="14.4" x14ac:dyDescent="0.3">
      <c r="A12" t="s">
        <v>57</v>
      </c>
      <c r="B12" t="s">
        <v>58</v>
      </c>
      <c r="C12" t="s">
        <v>48</v>
      </c>
      <c r="D12" t="s">
        <v>42</v>
      </c>
      <c r="E12" s="5">
        <v>4.0999999999999996</v>
      </c>
    </row>
    <row r="13" spans="1:6" ht="14.4" x14ac:dyDescent="0.3">
      <c r="A13" t="s">
        <v>59</v>
      </c>
      <c r="B13" t="s">
        <v>60</v>
      </c>
      <c r="C13" t="s">
        <v>52</v>
      </c>
      <c r="D13" t="s">
        <v>38</v>
      </c>
      <c r="E13" s="5">
        <v>4.4000000000000004</v>
      </c>
    </row>
    <row r="14" spans="1:6" ht="14.4" x14ac:dyDescent="0.3">
      <c r="A14" t="s">
        <v>61</v>
      </c>
      <c r="B14" t="s">
        <v>62</v>
      </c>
      <c r="C14" t="s">
        <v>45</v>
      </c>
      <c r="D14" t="s">
        <v>49</v>
      </c>
      <c r="E14" s="5">
        <v>4</v>
      </c>
    </row>
    <row r="15" spans="1:6" ht="14.4" x14ac:dyDescent="0.3">
      <c r="A15" t="s">
        <v>63</v>
      </c>
      <c r="B15" t="s">
        <v>64</v>
      </c>
      <c r="C15" t="s">
        <v>37</v>
      </c>
      <c r="D15" t="s">
        <v>38</v>
      </c>
      <c r="E15" s="5">
        <v>4.5999999999999996</v>
      </c>
    </row>
    <row r="16" spans="1:6" ht="14.4" x14ac:dyDescent="0.3">
      <c r="A16" t="s">
        <v>65</v>
      </c>
      <c r="B16" t="s">
        <v>66</v>
      </c>
      <c r="C16" t="s">
        <v>41</v>
      </c>
      <c r="D16" t="s">
        <v>42</v>
      </c>
      <c r="E16" s="5">
        <v>4.0999999999999996</v>
      </c>
    </row>
    <row r="17" spans="1:5" ht="14.4" x14ac:dyDescent="0.3">
      <c r="A17" t="s">
        <v>67</v>
      </c>
      <c r="B17" t="s">
        <v>68</v>
      </c>
      <c r="C17" t="s">
        <v>45</v>
      </c>
      <c r="D17" t="s">
        <v>49</v>
      </c>
      <c r="E17" s="5">
        <v>4.3</v>
      </c>
    </row>
    <row r="18" spans="1:5" ht="14.4" x14ac:dyDescent="0.3">
      <c r="A18" t="s">
        <v>69</v>
      </c>
      <c r="B18" t="s">
        <v>70</v>
      </c>
      <c r="C18" t="s">
        <v>52</v>
      </c>
      <c r="D18" t="s">
        <v>38</v>
      </c>
      <c r="E18" s="5">
        <v>4.2</v>
      </c>
    </row>
    <row r="19" spans="1:5" ht="14.4" x14ac:dyDescent="0.3">
      <c r="A19" t="s">
        <v>71</v>
      </c>
      <c r="B19" t="s">
        <v>72</v>
      </c>
      <c r="C19" t="s">
        <v>48</v>
      </c>
      <c r="D19" t="s">
        <v>49</v>
      </c>
      <c r="E19" s="5">
        <v>4</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4"/>
  <sheetViews>
    <sheetView zoomScaleNormal="100" workbookViewId="0">
      <pane ySplit="4" topLeftCell="A105" activePane="bottomLeft" state="frozen"/>
      <selection pane="bottomLeft" activeCell="F7" sqref="F7"/>
    </sheetView>
  </sheetViews>
  <sheetFormatPr defaultColWidth="8.6640625" defaultRowHeight="15" customHeight="1" x14ac:dyDescent="0.3"/>
  <cols>
    <col min="1" max="1" width="28" customWidth="1"/>
    <col min="2" max="3" width="14" customWidth="1"/>
    <col min="4" max="4" width="10" customWidth="1"/>
    <col min="5" max="5" width="21" customWidth="1"/>
    <col min="6" max="6" width="14" customWidth="1"/>
    <col min="7" max="7" width="10" customWidth="1"/>
    <col min="8" max="8" width="14" customWidth="1"/>
    <col min="9" max="9" width="11" customWidth="1"/>
    <col min="10" max="10" width="22" customWidth="1"/>
    <col min="11" max="12" width="28" customWidth="1"/>
    <col min="13" max="13" width="16" customWidth="1"/>
  </cols>
  <sheetData>
    <row r="1" spans="1:13" ht="27.75" customHeight="1" x14ac:dyDescent="0.3">
      <c r="A1" s="18" t="s">
        <v>73</v>
      </c>
      <c r="B1" s="18"/>
      <c r="C1" s="18"/>
      <c r="D1" s="18"/>
      <c r="E1" s="18"/>
      <c r="F1" s="18"/>
      <c r="G1" s="18"/>
      <c r="H1" s="18"/>
      <c r="I1" s="18"/>
      <c r="J1" s="18"/>
      <c r="K1" s="18"/>
      <c r="L1" s="18"/>
      <c r="M1" s="18"/>
    </row>
    <row r="2" spans="1:13" ht="30" customHeight="1" x14ac:dyDescent="0.3">
      <c r="A2" s="19" t="s">
        <v>74</v>
      </c>
      <c r="B2" s="19"/>
      <c r="C2" s="19"/>
      <c r="D2" s="19"/>
      <c r="E2" s="19"/>
      <c r="F2" s="19"/>
      <c r="G2" s="19"/>
      <c r="H2" s="19"/>
      <c r="I2" s="19"/>
      <c r="J2" s="19"/>
      <c r="K2" s="19"/>
      <c r="L2" s="19"/>
      <c r="M2" s="19"/>
    </row>
    <row r="4" spans="1:13" ht="27.6" x14ac:dyDescent="0.3">
      <c r="A4" s="4" t="s">
        <v>75</v>
      </c>
      <c r="B4" s="4" t="s">
        <v>30</v>
      </c>
      <c r="C4" s="4" t="s">
        <v>76</v>
      </c>
      <c r="D4" s="4" t="s">
        <v>32</v>
      </c>
      <c r="E4" s="4" t="s">
        <v>77</v>
      </c>
      <c r="F4" s="4" t="s">
        <v>78</v>
      </c>
      <c r="G4" s="4" t="s">
        <v>79</v>
      </c>
      <c r="H4" s="4" t="s">
        <v>80</v>
      </c>
      <c r="I4" s="4" t="s">
        <v>81</v>
      </c>
      <c r="J4" s="4" t="s">
        <v>31</v>
      </c>
      <c r="K4" s="4" t="s">
        <v>33</v>
      </c>
      <c r="L4" s="4" t="s">
        <v>82</v>
      </c>
      <c r="M4" s="4" t="s">
        <v>83</v>
      </c>
    </row>
    <row r="5" spans="1:13" ht="14.4" x14ac:dyDescent="0.3">
      <c r="A5" t="s">
        <v>84</v>
      </c>
      <c r="B5" t="s">
        <v>63</v>
      </c>
      <c r="C5" t="s">
        <v>85</v>
      </c>
      <c r="D5" t="s">
        <v>37</v>
      </c>
      <c r="E5" s="6">
        <v>46207</v>
      </c>
      <c r="F5" s="7">
        <v>34</v>
      </c>
      <c r="G5" s="8">
        <v>3.7</v>
      </c>
      <c r="H5" s="9">
        <v>1131.02</v>
      </c>
      <c r="I5" t="s">
        <v>86</v>
      </c>
      <c r="J5" t="str">
        <f ca="1">IFERROR(_xludf.xlookup(B5,Restaurants!$A$5:$A$19,Restaurants!$B$5:$B$19),"Unknown")</f>
        <v>Unknown</v>
      </c>
      <c r="K5" t="str">
        <f ca="1">IFERROR(_xludf.xlookup(B5,Restaurants!$A$5:$A$19,Restaurants!$D$5:$D$19),"Unknown")</f>
        <v>Unknown</v>
      </c>
      <c r="L5" t="str">
        <f>IFERROR(INDEX(Restaurants!$C$5:$C$19,MATCH(B5,Restaurants!$A$5:$A$19,0)),"Unknown")</f>
        <v>Central</v>
      </c>
      <c r="M5" t="e">
        <f ca="1">IF(OR(F5&lt;QStats!$B$8,F5&gt;QStats!$B$9),"Yes","No")</f>
        <v>#NAME?</v>
      </c>
    </row>
    <row r="6" spans="1:13" ht="14.4" x14ac:dyDescent="0.3">
      <c r="A6" t="s">
        <v>87</v>
      </c>
      <c r="B6" t="s">
        <v>59</v>
      </c>
      <c r="C6" t="s">
        <v>85</v>
      </c>
      <c r="D6" t="s">
        <v>52</v>
      </c>
      <c r="E6" s="6">
        <v>46279</v>
      </c>
      <c r="F6" s="7">
        <v>32</v>
      </c>
      <c r="G6" s="8">
        <v>4.2</v>
      </c>
      <c r="H6" s="9">
        <v>252.64</v>
      </c>
      <c r="I6" t="s">
        <v>86</v>
      </c>
      <c r="J6" t="str">
        <f ca="1">IFERROR(_xludf.xlookup(B6,Restaurants!$A$5:$A$19,Restaurants!$B$5:$B$19),"Unknown")</f>
        <v>Unknown</v>
      </c>
      <c r="K6" t="str">
        <f ca="1">IFERROR(_xludf.xlookup(B6,Restaurants!$A$5:$A$19,Restaurants!$D$5:$D$19),"Unknown")</f>
        <v>Unknown</v>
      </c>
      <c r="L6" t="str">
        <f>IFERROR(INDEX(Restaurants!$C$5:$C$19,MATCH(B6,Restaurants!$A$5:$A$19,0)),"Unknown")</f>
        <v>North</v>
      </c>
      <c r="M6" t="e">
        <f ca="1">IF(OR(F6&lt;QStats!$B$8,F6&gt;QStats!$B$9),"Yes","No")</f>
        <v>#NAME?</v>
      </c>
    </row>
    <row r="7" spans="1:13" ht="14.4" x14ac:dyDescent="0.3">
      <c r="A7" t="s">
        <v>88</v>
      </c>
      <c r="B7" t="s">
        <v>46</v>
      </c>
      <c r="C7" t="s">
        <v>89</v>
      </c>
      <c r="D7" t="s">
        <v>48</v>
      </c>
      <c r="E7" s="6">
        <v>46232</v>
      </c>
      <c r="F7" s="7">
        <v>26</v>
      </c>
      <c r="G7" s="8">
        <v>4.2</v>
      </c>
      <c r="H7" s="9">
        <v>416.38</v>
      </c>
      <c r="I7" t="s">
        <v>86</v>
      </c>
      <c r="J7" t="str">
        <f ca="1">IFERROR(_xludf.xlookup(B7,Restaurants!$A$5:$A$19,Restaurants!$B$5:$B$19),"Unknown")</f>
        <v>Unknown</v>
      </c>
      <c r="K7" t="str">
        <f ca="1">IFERROR(_xludf.xlookup(B7,Restaurants!$A$5:$A$19,Restaurants!$D$5:$D$19),"Unknown")</f>
        <v>Unknown</v>
      </c>
      <c r="L7" t="str">
        <f>IFERROR(INDEX(Restaurants!$C$5:$C$19,MATCH(B7,Restaurants!$A$5:$A$19,0)),"Unknown")</f>
        <v>East</v>
      </c>
      <c r="M7" t="e">
        <f ca="1">IF(OR(F7&lt;QStats!$B$8,F7&gt;QStats!$B$9),"Yes","No")</f>
        <v>#NAME?</v>
      </c>
    </row>
    <row r="8" spans="1:13" ht="14.4" x14ac:dyDescent="0.3">
      <c r="A8" t="s">
        <v>90</v>
      </c>
      <c r="B8" t="s">
        <v>55</v>
      </c>
      <c r="C8" t="s">
        <v>91</v>
      </c>
      <c r="D8" t="s">
        <v>37</v>
      </c>
      <c r="E8" s="6">
        <v>46239</v>
      </c>
      <c r="F8" s="7">
        <v>48</v>
      </c>
      <c r="G8" s="8">
        <v>5</v>
      </c>
      <c r="H8" s="9">
        <v>338.96</v>
      </c>
      <c r="I8" t="s">
        <v>86</v>
      </c>
      <c r="J8" t="str">
        <f ca="1">IFERROR(_xludf.xlookup(B8,Restaurants!$A$5:$A$19,Restaurants!$B$5:$B$19),"Unknown")</f>
        <v>Unknown</v>
      </c>
      <c r="K8" t="str">
        <f ca="1">IFERROR(_xludf.xlookup(B8,Restaurants!$A$5:$A$19,Restaurants!$D$5:$D$19),"Unknown")</f>
        <v>Unknown</v>
      </c>
      <c r="L8" t="str">
        <f>IFERROR(INDEX(Restaurants!$C$5:$C$19,MATCH(B8,Restaurants!$A$5:$A$19,0)),"Unknown")</f>
        <v>Central</v>
      </c>
      <c r="M8" t="e">
        <f ca="1">IF(OR(F8&lt;QStats!$B$8,F8&gt;QStats!$B$9),"Yes","No")</f>
        <v>#NAME?</v>
      </c>
    </row>
    <row r="9" spans="1:13" ht="14.4" x14ac:dyDescent="0.3">
      <c r="A9" t="s">
        <v>92</v>
      </c>
      <c r="B9" t="s">
        <v>69</v>
      </c>
      <c r="C9" t="s">
        <v>91</v>
      </c>
      <c r="D9" t="s">
        <v>52</v>
      </c>
      <c r="E9" s="6">
        <v>46281</v>
      </c>
      <c r="F9" s="7">
        <v>34</v>
      </c>
      <c r="G9" s="8">
        <v>4.3</v>
      </c>
      <c r="H9" s="9">
        <v>1354.42</v>
      </c>
      <c r="I9" t="s">
        <v>86</v>
      </c>
      <c r="J9" t="str">
        <f ca="1">IFERROR(_xludf.xlookup(B9,Restaurants!$A$5:$A$19,Restaurants!$B$5:$B$19),"Unknown")</f>
        <v>Unknown</v>
      </c>
      <c r="K9" t="str">
        <f ca="1">IFERROR(_xludf.xlookup(B9,Restaurants!$A$5:$A$19,Restaurants!$D$5:$D$19),"Unknown")</f>
        <v>Unknown</v>
      </c>
      <c r="L9" t="str">
        <f>IFERROR(INDEX(Restaurants!$C$5:$C$19,MATCH(B9,Restaurants!$A$5:$A$19,0)),"Unknown")</f>
        <v>North</v>
      </c>
      <c r="M9" t="e">
        <f ca="1">IF(OR(F9&lt;QStats!$B$8,F9&gt;QStats!$B$9),"Yes","No")</f>
        <v>#NAME?</v>
      </c>
    </row>
    <row r="10" spans="1:13" ht="14.4" x14ac:dyDescent="0.3">
      <c r="A10" t="s">
        <v>93</v>
      </c>
      <c r="B10" t="s">
        <v>39</v>
      </c>
      <c r="C10" t="s">
        <v>91</v>
      </c>
      <c r="D10" t="s">
        <v>41</v>
      </c>
      <c r="E10" s="6">
        <v>46284</v>
      </c>
      <c r="F10" s="7">
        <v>19</v>
      </c>
      <c r="G10" s="8">
        <v>3.4</v>
      </c>
      <c r="H10" s="9">
        <v>276.36</v>
      </c>
      <c r="I10" t="s">
        <v>86</v>
      </c>
      <c r="J10" t="str">
        <f ca="1">IFERROR(_xludf.xlookup(B10,Restaurants!$A$5:$A$19,Restaurants!$B$5:$B$19),"Unknown")</f>
        <v>Unknown</v>
      </c>
      <c r="K10" t="str">
        <f ca="1">IFERROR(_xludf.xlookup(B10,Restaurants!$A$5:$A$19,Restaurants!$D$5:$D$19),"Unknown")</f>
        <v>Unknown</v>
      </c>
      <c r="L10" t="str">
        <f>IFERROR(INDEX(Restaurants!$C$5:$C$19,MATCH(B10,Restaurants!$A$5:$A$19,0)),"Unknown")</f>
        <v>West</v>
      </c>
      <c r="M10" t="e">
        <f ca="1">IF(OR(F10&lt;QStats!$B$8,F10&gt;QStats!$B$9),"Yes","No")</f>
        <v>#NAME?</v>
      </c>
    </row>
    <row r="11" spans="1:13" ht="14.4" x14ac:dyDescent="0.3">
      <c r="A11" t="s">
        <v>94</v>
      </c>
      <c r="B11" t="s">
        <v>46</v>
      </c>
      <c r="C11" t="s">
        <v>91</v>
      </c>
      <c r="D11" t="s">
        <v>48</v>
      </c>
      <c r="E11" s="6">
        <v>46214</v>
      </c>
      <c r="F11" s="7">
        <v>46</v>
      </c>
      <c r="G11" s="8">
        <v>3</v>
      </c>
      <c r="H11" s="9">
        <v>1245.96</v>
      </c>
      <c r="I11" t="s">
        <v>86</v>
      </c>
      <c r="J11" t="str">
        <f ca="1">IFERROR(_xludf.xlookup(B11,Restaurants!$A$5:$A$19,Restaurants!$B$5:$B$19),"Unknown")</f>
        <v>Unknown</v>
      </c>
      <c r="K11" t="str">
        <f ca="1">IFERROR(_xludf.xlookup(B11,Restaurants!$A$5:$A$19,Restaurants!$D$5:$D$19),"Unknown")</f>
        <v>Unknown</v>
      </c>
      <c r="L11" t="str">
        <f>IFERROR(INDEX(Restaurants!$C$5:$C$19,MATCH(B11,Restaurants!$A$5:$A$19,0)),"Unknown")</f>
        <v>East</v>
      </c>
      <c r="M11" t="e">
        <f ca="1">IF(OR(F11&lt;QStats!$B$8,F11&gt;QStats!$B$9),"Yes","No")</f>
        <v>#NAME?</v>
      </c>
    </row>
    <row r="12" spans="1:13" ht="14.4" x14ac:dyDescent="0.3">
      <c r="A12" t="s">
        <v>95</v>
      </c>
      <c r="B12" t="s">
        <v>43</v>
      </c>
      <c r="C12" t="s">
        <v>91</v>
      </c>
      <c r="D12" t="s">
        <v>45</v>
      </c>
      <c r="E12" s="6">
        <v>46249</v>
      </c>
      <c r="F12" s="7">
        <v>36</v>
      </c>
      <c r="G12" s="8">
        <v>4.5</v>
      </c>
      <c r="H12" s="9">
        <v>969.23</v>
      </c>
      <c r="I12" t="s">
        <v>86</v>
      </c>
      <c r="J12" t="str">
        <f ca="1">IFERROR(_xludf.xlookup(B12,Restaurants!$A$5:$A$19,Restaurants!$B$5:$B$19),"Unknown")</f>
        <v>Unknown</v>
      </c>
      <c r="K12" t="str">
        <f ca="1">IFERROR(_xludf.xlookup(B12,Restaurants!$A$5:$A$19,Restaurants!$D$5:$D$19),"Unknown")</f>
        <v>Unknown</v>
      </c>
      <c r="L12" t="str">
        <f>IFERROR(INDEX(Restaurants!$C$5:$C$19,MATCH(B12,Restaurants!$A$5:$A$19,0)),"Unknown")</f>
        <v>South</v>
      </c>
      <c r="M12" t="e">
        <f ca="1">IF(OR(F12&lt;QStats!$B$8,F12&gt;QStats!$B$9),"Yes","No")</f>
        <v>#NAME?</v>
      </c>
    </row>
    <row r="13" spans="1:13" ht="14.4" x14ac:dyDescent="0.3">
      <c r="A13" t="s">
        <v>96</v>
      </c>
      <c r="B13" t="s">
        <v>43</v>
      </c>
      <c r="C13" t="s">
        <v>97</v>
      </c>
      <c r="D13" t="s">
        <v>45</v>
      </c>
      <c r="E13" s="6">
        <v>46224</v>
      </c>
      <c r="F13" s="7">
        <v>26</v>
      </c>
      <c r="G13" s="8">
        <v>4.2</v>
      </c>
      <c r="H13" s="9">
        <v>490.13</v>
      </c>
      <c r="I13" t="s">
        <v>86</v>
      </c>
      <c r="J13" t="str">
        <f ca="1">IFERROR(_xludf.xlookup(B13,Restaurants!$A$5:$A$19,Restaurants!$B$5:$B$19),"Unknown")</f>
        <v>Unknown</v>
      </c>
      <c r="K13" t="str">
        <f ca="1">IFERROR(_xludf.xlookup(B13,Restaurants!$A$5:$A$19,Restaurants!$D$5:$D$19),"Unknown")</f>
        <v>Unknown</v>
      </c>
      <c r="L13" t="str">
        <f>IFERROR(INDEX(Restaurants!$C$5:$C$19,MATCH(B13,Restaurants!$A$5:$A$19,0)),"Unknown")</f>
        <v>South</v>
      </c>
      <c r="M13" t="e">
        <f ca="1">IF(OR(F13&lt;QStats!$B$8,F13&gt;QStats!$B$9),"Yes","No")</f>
        <v>#NAME?</v>
      </c>
    </row>
    <row r="14" spans="1:13" ht="14.4" x14ac:dyDescent="0.3">
      <c r="A14" t="s">
        <v>98</v>
      </c>
      <c r="B14" t="s">
        <v>53</v>
      </c>
      <c r="C14" t="s">
        <v>85</v>
      </c>
      <c r="D14" t="s">
        <v>41</v>
      </c>
      <c r="E14" s="6">
        <v>46233</v>
      </c>
      <c r="F14" s="7">
        <v>42</v>
      </c>
      <c r="G14" s="8">
        <v>3.1</v>
      </c>
      <c r="H14" s="9">
        <v>1343.16</v>
      </c>
      <c r="I14" t="s">
        <v>99</v>
      </c>
      <c r="J14" t="str">
        <f ca="1">IFERROR(_xludf.xlookup(B14,Restaurants!$A$5:$A$19,Restaurants!$B$5:$B$19),"Unknown")</f>
        <v>Unknown</v>
      </c>
      <c r="K14" t="str">
        <f ca="1">IFERROR(_xludf.xlookup(B14,Restaurants!$A$5:$A$19,Restaurants!$D$5:$D$19),"Unknown")</f>
        <v>Unknown</v>
      </c>
      <c r="L14" t="str">
        <f>IFERROR(INDEX(Restaurants!$C$5:$C$19,MATCH(B14,Restaurants!$A$5:$A$19,0)),"Unknown")</f>
        <v>West</v>
      </c>
      <c r="M14" t="e">
        <f ca="1">IF(OR(F14&lt;QStats!$B$8,F14&gt;QStats!$B$9),"Yes","No")</f>
        <v>#NAME?</v>
      </c>
    </row>
    <row r="15" spans="1:13" ht="14.4" x14ac:dyDescent="0.3">
      <c r="A15" t="s">
        <v>100</v>
      </c>
      <c r="B15" t="s">
        <v>61</v>
      </c>
      <c r="C15" t="s">
        <v>91</v>
      </c>
      <c r="D15" t="s">
        <v>45</v>
      </c>
      <c r="E15" s="6">
        <v>46231</v>
      </c>
      <c r="F15" s="7">
        <v>28</v>
      </c>
      <c r="G15" s="8">
        <v>3.6</v>
      </c>
      <c r="H15" s="9">
        <v>545.79999999999995</v>
      </c>
      <c r="I15" t="s">
        <v>86</v>
      </c>
      <c r="J15" t="str">
        <f ca="1">IFERROR(_xludf.xlookup(B15,Restaurants!$A$5:$A$19,Restaurants!$B$5:$B$19),"Unknown")</f>
        <v>Unknown</v>
      </c>
      <c r="K15" t="str">
        <f ca="1">IFERROR(_xludf.xlookup(B15,Restaurants!$A$5:$A$19,Restaurants!$D$5:$D$19),"Unknown")</f>
        <v>Unknown</v>
      </c>
      <c r="L15" t="str">
        <f>IFERROR(INDEX(Restaurants!$C$5:$C$19,MATCH(B15,Restaurants!$A$5:$A$19,0)),"Unknown")</f>
        <v>South</v>
      </c>
      <c r="M15" t="e">
        <f ca="1">IF(OR(F15&lt;QStats!$B$8,F15&gt;QStats!$B$9),"Yes","No")</f>
        <v>#NAME?</v>
      </c>
    </row>
    <row r="16" spans="1:13" ht="14.4" x14ac:dyDescent="0.3">
      <c r="A16" t="s">
        <v>101</v>
      </c>
      <c r="B16" t="s">
        <v>46</v>
      </c>
      <c r="C16" t="s">
        <v>91</v>
      </c>
      <c r="D16" t="s">
        <v>48</v>
      </c>
      <c r="E16" s="6">
        <v>46278</v>
      </c>
      <c r="F16" s="7">
        <v>22</v>
      </c>
      <c r="G16" s="8">
        <v>4.4000000000000004</v>
      </c>
      <c r="H16" s="9">
        <v>390.15</v>
      </c>
      <c r="I16" t="s">
        <v>86</v>
      </c>
      <c r="J16" t="str">
        <f ca="1">IFERROR(_xludf.xlookup(B16,Restaurants!$A$5:$A$19,Restaurants!$B$5:$B$19),"Unknown")</f>
        <v>Unknown</v>
      </c>
      <c r="K16" t="str">
        <f ca="1">IFERROR(_xludf.xlookup(B16,Restaurants!$A$5:$A$19,Restaurants!$D$5:$D$19),"Unknown")</f>
        <v>Unknown</v>
      </c>
      <c r="L16" t="str">
        <f>IFERROR(INDEX(Restaurants!$C$5:$C$19,MATCH(B16,Restaurants!$A$5:$A$19,0)),"Unknown")</f>
        <v>East</v>
      </c>
      <c r="M16" t="e">
        <f ca="1">IF(OR(F16&lt;QStats!$B$8,F16&gt;QStats!$B$9),"Yes","No")</f>
        <v>#NAME?</v>
      </c>
    </row>
    <row r="17" spans="1:13" ht="14.4" x14ac:dyDescent="0.3">
      <c r="A17" t="s">
        <v>102</v>
      </c>
      <c r="B17" t="s">
        <v>57</v>
      </c>
      <c r="C17" t="s">
        <v>85</v>
      </c>
      <c r="D17" t="s">
        <v>48</v>
      </c>
      <c r="E17" s="6">
        <v>46210</v>
      </c>
      <c r="F17" s="7">
        <v>38</v>
      </c>
      <c r="G17" s="8">
        <v>3.9</v>
      </c>
      <c r="H17" s="9">
        <v>953.58</v>
      </c>
      <c r="I17" t="s">
        <v>86</v>
      </c>
      <c r="J17" t="str">
        <f ca="1">IFERROR(_xludf.xlookup(B17,Restaurants!$A$5:$A$19,Restaurants!$B$5:$B$19),"Unknown")</f>
        <v>Unknown</v>
      </c>
      <c r="K17" t="str">
        <f ca="1">IFERROR(_xludf.xlookup(B17,Restaurants!$A$5:$A$19,Restaurants!$D$5:$D$19),"Unknown")</f>
        <v>Unknown</v>
      </c>
      <c r="L17" t="str">
        <f>IFERROR(INDEX(Restaurants!$C$5:$C$19,MATCH(B17,Restaurants!$A$5:$A$19,0)),"Unknown")</f>
        <v>East</v>
      </c>
      <c r="M17" t="e">
        <f ca="1">IF(OR(F17&lt;QStats!$B$8,F17&gt;QStats!$B$9),"Yes","No")</f>
        <v>#NAME?</v>
      </c>
    </row>
    <row r="18" spans="1:13" ht="14.4" x14ac:dyDescent="0.3">
      <c r="A18" t="s">
        <v>103</v>
      </c>
      <c r="B18" t="s">
        <v>55</v>
      </c>
      <c r="C18" t="s">
        <v>89</v>
      </c>
      <c r="D18" t="s">
        <v>37</v>
      </c>
      <c r="E18" s="6">
        <v>46280</v>
      </c>
      <c r="F18" s="7">
        <v>46</v>
      </c>
      <c r="G18" s="8">
        <v>3.9</v>
      </c>
      <c r="H18" s="9">
        <v>234.12</v>
      </c>
      <c r="I18" t="s">
        <v>86</v>
      </c>
      <c r="J18" t="str">
        <f ca="1">IFERROR(_xludf.xlookup(B18,Restaurants!$A$5:$A$19,Restaurants!$B$5:$B$19),"Unknown")</f>
        <v>Unknown</v>
      </c>
      <c r="K18" t="str">
        <f ca="1">IFERROR(_xludf.xlookup(B18,Restaurants!$A$5:$A$19,Restaurants!$D$5:$D$19),"Unknown")</f>
        <v>Unknown</v>
      </c>
      <c r="L18" t="str">
        <f>IFERROR(INDEX(Restaurants!$C$5:$C$19,MATCH(B18,Restaurants!$A$5:$A$19,0)),"Unknown")</f>
        <v>Central</v>
      </c>
      <c r="M18" t="e">
        <f ca="1">IF(OR(F18&lt;QStats!$B$8,F18&gt;QStats!$B$9),"Yes","No")</f>
        <v>#NAME?</v>
      </c>
    </row>
    <row r="19" spans="1:13" ht="14.4" x14ac:dyDescent="0.3">
      <c r="A19" t="s">
        <v>104</v>
      </c>
      <c r="B19" t="s">
        <v>65</v>
      </c>
      <c r="C19" t="s">
        <v>85</v>
      </c>
      <c r="D19" t="s">
        <v>41</v>
      </c>
      <c r="E19" s="6">
        <v>46291</v>
      </c>
      <c r="F19" s="7">
        <v>46</v>
      </c>
      <c r="G19" s="8">
        <v>3.3</v>
      </c>
      <c r="H19" s="9">
        <v>581.01</v>
      </c>
      <c r="I19" t="s">
        <v>86</v>
      </c>
      <c r="J19" t="str">
        <f ca="1">IFERROR(_xludf.xlookup(B19,Restaurants!$A$5:$A$19,Restaurants!$B$5:$B$19),"Unknown")</f>
        <v>Unknown</v>
      </c>
      <c r="K19" t="str">
        <f ca="1">IFERROR(_xludf.xlookup(B19,Restaurants!$A$5:$A$19,Restaurants!$D$5:$D$19),"Unknown")</f>
        <v>Unknown</v>
      </c>
      <c r="L19" t="str">
        <f>IFERROR(INDEX(Restaurants!$C$5:$C$19,MATCH(B19,Restaurants!$A$5:$A$19,0)),"Unknown")</f>
        <v>West</v>
      </c>
      <c r="M19" t="e">
        <f ca="1">IF(OR(F19&lt;QStats!$B$8,F19&gt;QStats!$B$9),"Yes","No")</f>
        <v>#NAME?</v>
      </c>
    </row>
    <row r="20" spans="1:13" ht="14.4" x14ac:dyDescent="0.3">
      <c r="A20" t="s">
        <v>105</v>
      </c>
      <c r="B20" t="s">
        <v>43</v>
      </c>
      <c r="C20" t="s">
        <v>89</v>
      </c>
      <c r="D20" t="s">
        <v>45</v>
      </c>
      <c r="E20" s="6">
        <v>46204</v>
      </c>
      <c r="F20" s="7">
        <v>54</v>
      </c>
      <c r="G20" s="8">
        <v>3.4</v>
      </c>
      <c r="H20" s="9">
        <v>439.74</v>
      </c>
      <c r="I20" t="s">
        <v>106</v>
      </c>
      <c r="J20" t="str">
        <f ca="1">IFERROR(_xludf.xlookup(B20,Restaurants!$A$5:$A$19,Restaurants!$B$5:$B$19),"Unknown")</f>
        <v>Unknown</v>
      </c>
      <c r="K20" t="str">
        <f ca="1">IFERROR(_xludf.xlookup(B20,Restaurants!$A$5:$A$19,Restaurants!$D$5:$D$19),"Unknown")</f>
        <v>Unknown</v>
      </c>
      <c r="L20" t="str">
        <f>IFERROR(INDEX(Restaurants!$C$5:$C$19,MATCH(B20,Restaurants!$A$5:$A$19,0)),"Unknown")</f>
        <v>South</v>
      </c>
      <c r="M20" t="e">
        <f ca="1">IF(OR(F20&lt;QStats!$B$8,F20&gt;QStats!$B$9),"Yes","No")</f>
        <v>#NAME?</v>
      </c>
    </row>
    <row r="21" spans="1:13" ht="14.4" x14ac:dyDescent="0.3">
      <c r="A21" t="s">
        <v>107</v>
      </c>
      <c r="B21" t="s">
        <v>71</v>
      </c>
      <c r="C21" t="s">
        <v>85</v>
      </c>
      <c r="D21" t="s">
        <v>48</v>
      </c>
      <c r="E21" s="6">
        <v>46284</v>
      </c>
      <c r="F21" s="7">
        <v>30</v>
      </c>
      <c r="G21" s="8">
        <v>4.8</v>
      </c>
      <c r="H21" s="9">
        <v>1157.8900000000001</v>
      </c>
      <c r="I21" t="s">
        <v>86</v>
      </c>
      <c r="J21" t="str">
        <f ca="1">IFERROR(_xludf.xlookup(B21,Restaurants!$A$5:$A$19,Restaurants!$B$5:$B$19),"Unknown")</f>
        <v>Unknown</v>
      </c>
      <c r="K21" t="str">
        <f ca="1">IFERROR(_xludf.xlookup(B21,Restaurants!$A$5:$A$19,Restaurants!$D$5:$D$19),"Unknown")</f>
        <v>Unknown</v>
      </c>
      <c r="L21" t="str">
        <f>IFERROR(INDEX(Restaurants!$C$5:$C$19,MATCH(B21,Restaurants!$A$5:$A$19,0)),"Unknown")</f>
        <v>East</v>
      </c>
      <c r="M21" t="e">
        <f ca="1">IF(OR(F21&lt;QStats!$B$8,F21&gt;QStats!$B$9),"Yes","No")</f>
        <v>#NAME?</v>
      </c>
    </row>
    <row r="22" spans="1:13" ht="14.4" x14ac:dyDescent="0.3">
      <c r="A22" t="s">
        <v>108</v>
      </c>
      <c r="B22" t="s">
        <v>59</v>
      </c>
      <c r="C22" t="s">
        <v>85</v>
      </c>
      <c r="D22" t="s">
        <v>52</v>
      </c>
      <c r="E22" s="6">
        <v>46280</v>
      </c>
      <c r="F22" s="7">
        <v>33</v>
      </c>
      <c r="G22" s="8">
        <v>4.2</v>
      </c>
      <c r="H22" s="9">
        <v>1242.95</v>
      </c>
      <c r="I22" t="s">
        <v>86</v>
      </c>
      <c r="J22" t="str">
        <f ca="1">IFERROR(_xludf.xlookup(B22,Restaurants!$A$5:$A$19,Restaurants!$B$5:$B$19),"Unknown")</f>
        <v>Unknown</v>
      </c>
      <c r="K22" t="str">
        <f ca="1">IFERROR(_xludf.xlookup(B22,Restaurants!$A$5:$A$19,Restaurants!$D$5:$D$19),"Unknown")</f>
        <v>Unknown</v>
      </c>
      <c r="L22" t="str">
        <f>IFERROR(INDEX(Restaurants!$C$5:$C$19,MATCH(B22,Restaurants!$A$5:$A$19,0)),"Unknown")</f>
        <v>North</v>
      </c>
      <c r="M22" t="e">
        <f ca="1">IF(OR(F22&lt;QStats!$B$8,F22&gt;QStats!$B$9),"Yes","No")</f>
        <v>#NAME?</v>
      </c>
    </row>
    <row r="23" spans="1:13" ht="14.4" x14ac:dyDescent="0.3">
      <c r="A23" t="s">
        <v>109</v>
      </c>
      <c r="B23" t="s">
        <v>50</v>
      </c>
      <c r="C23" t="s">
        <v>97</v>
      </c>
      <c r="D23" t="s">
        <v>52</v>
      </c>
      <c r="E23" s="6">
        <v>46211</v>
      </c>
      <c r="F23" s="7">
        <v>68</v>
      </c>
      <c r="G23" s="8">
        <v>4</v>
      </c>
      <c r="H23" s="9">
        <v>1422.92</v>
      </c>
      <c r="I23" t="s">
        <v>106</v>
      </c>
      <c r="J23" t="str">
        <f ca="1">IFERROR(_xludf.xlookup(B23,Restaurants!$A$5:$A$19,Restaurants!$B$5:$B$19),"Unknown")</f>
        <v>Unknown</v>
      </c>
      <c r="K23" t="str">
        <f ca="1">IFERROR(_xludf.xlookup(B23,Restaurants!$A$5:$A$19,Restaurants!$D$5:$D$19),"Unknown")</f>
        <v>Unknown</v>
      </c>
      <c r="L23" t="str">
        <f>IFERROR(INDEX(Restaurants!$C$5:$C$19,MATCH(B23,Restaurants!$A$5:$A$19,0)),"Unknown")</f>
        <v>North</v>
      </c>
      <c r="M23" t="e">
        <f ca="1">IF(OR(F23&lt;QStats!$B$8,F23&gt;QStats!$B$9),"Yes","No")</f>
        <v>#NAME?</v>
      </c>
    </row>
    <row r="24" spans="1:13" ht="14.4" x14ac:dyDescent="0.3">
      <c r="A24" t="s">
        <v>110</v>
      </c>
      <c r="B24" t="s">
        <v>59</v>
      </c>
      <c r="C24" t="s">
        <v>97</v>
      </c>
      <c r="D24" t="s">
        <v>52</v>
      </c>
      <c r="E24" s="6">
        <v>46220</v>
      </c>
      <c r="F24" s="7">
        <v>21</v>
      </c>
      <c r="G24" s="8">
        <v>3</v>
      </c>
      <c r="H24" s="9">
        <v>966.11</v>
      </c>
      <c r="I24" t="s">
        <v>86</v>
      </c>
      <c r="J24" t="str">
        <f ca="1">IFERROR(_xludf.xlookup(B24,Restaurants!$A$5:$A$19,Restaurants!$B$5:$B$19),"Unknown")</f>
        <v>Unknown</v>
      </c>
      <c r="K24" t="str">
        <f ca="1">IFERROR(_xludf.xlookup(B24,Restaurants!$A$5:$A$19,Restaurants!$D$5:$D$19),"Unknown")</f>
        <v>Unknown</v>
      </c>
      <c r="L24" t="str">
        <f>IFERROR(INDEX(Restaurants!$C$5:$C$19,MATCH(B24,Restaurants!$A$5:$A$19,0)),"Unknown")</f>
        <v>North</v>
      </c>
      <c r="M24" t="e">
        <f ca="1">IF(OR(F24&lt;QStats!$B$8,F24&gt;QStats!$B$9),"Yes","No")</f>
        <v>#NAME?</v>
      </c>
    </row>
    <row r="25" spans="1:13" ht="14.4" x14ac:dyDescent="0.3">
      <c r="A25" t="s">
        <v>111</v>
      </c>
      <c r="B25" t="s">
        <v>46</v>
      </c>
      <c r="C25" t="s">
        <v>97</v>
      </c>
      <c r="D25" t="s">
        <v>48</v>
      </c>
      <c r="E25" s="6">
        <v>46295</v>
      </c>
      <c r="F25" s="7">
        <v>22</v>
      </c>
      <c r="G25" s="8">
        <v>5</v>
      </c>
      <c r="H25" s="9">
        <v>856.62</v>
      </c>
      <c r="I25" t="s">
        <v>86</v>
      </c>
      <c r="J25" t="str">
        <f ca="1">IFERROR(_xludf.xlookup(B25,Restaurants!$A$5:$A$19,Restaurants!$B$5:$B$19),"Unknown")</f>
        <v>Unknown</v>
      </c>
      <c r="K25" t="str">
        <f ca="1">IFERROR(_xludf.xlookup(B25,Restaurants!$A$5:$A$19,Restaurants!$D$5:$D$19),"Unknown")</f>
        <v>Unknown</v>
      </c>
      <c r="L25" t="str">
        <f>IFERROR(INDEX(Restaurants!$C$5:$C$19,MATCH(B25,Restaurants!$A$5:$A$19,0)),"Unknown")</f>
        <v>East</v>
      </c>
      <c r="M25" t="e">
        <f ca="1">IF(OR(F25&lt;QStats!$B$8,F25&gt;QStats!$B$9),"Yes","No")</f>
        <v>#NAME?</v>
      </c>
    </row>
    <row r="26" spans="1:13" ht="14.4" x14ac:dyDescent="0.3">
      <c r="A26" t="s">
        <v>112</v>
      </c>
      <c r="B26" t="s">
        <v>39</v>
      </c>
      <c r="C26" t="s">
        <v>97</v>
      </c>
      <c r="D26" t="s">
        <v>41</v>
      </c>
      <c r="E26" s="6">
        <v>46232</v>
      </c>
      <c r="F26" s="7">
        <v>36</v>
      </c>
      <c r="G26" s="8">
        <v>4.0999999999999996</v>
      </c>
      <c r="H26" s="9">
        <v>228.84</v>
      </c>
      <c r="I26" t="s">
        <v>86</v>
      </c>
      <c r="J26" t="str">
        <f ca="1">IFERROR(_xludf.xlookup(B26,Restaurants!$A$5:$A$19,Restaurants!$B$5:$B$19),"Unknown")</f>
        <v>Unknown</v>
      </c>
      <c r="K26" t="str">
        <f ca="1">IFERROR(_xludf.xlookup(B26,Restaurants!$A$5:$A$19,Restaurants!$D$5:$D$19),"Unknown")</f>
        <v>Unknown</v>
      </c>
      <c r="L26" t="str">
        <f>IFERROR(INDEX(Restaurants!$C$5:$C$19,MATCH(B26,Restaurants!$A$5:$A$19,0)),"Unknown")</f>
        <v>West</v>
      </c>
      <c r="M26" t="e">
        <f ca="1">IF(OR(F26&lt;QStats!$B$8,F26&gt;QStats!$B$9),"Yes","No")</f>
        <v>#NAME?</v>
      </c>
    </row>
    <row r="27" spans="1:13" ht="14.4" x14ac:dyDescent="0.3">
      <c r="A27" t="s">
        <v>113</v>
      </c>
      <c r="B27" t="s">
        <v>65</v>
      </c>
      <c r="C27" t="s">
        <v>85</v>
      </c>
      <c r="D27" t="s">
        <v>41</v>
      </c>
      <c r="E27" s="6">
        <v>46233</v>
      </c>
      <c r="F27" s="7">
        <v>36</v>
      </c>
      <c r="G27" s="8">
        <v>4.2</v>
      </c>
      <c r="H27" s="9">
        <v>562.53</v>
      </c>
      <c r="I27" t="s">
        <v>86</v>
      </c>
      <c r="J27" t="str">
        <f ca="1">IFERROR(_xludf.xlookup(B27,Restaurants!$A$5:$A$19,Restaurants!$B$5:$B$19),"Unknown")</f>
        <v>Unknown</v>
      </c>
      <c r="K27" t="str">
        <f ca="1">IFERROR(_xludf.xlookup(B27,Restaurants!$A$5:$A$19,Restaurants!$D$5:$D$19),"Unknown")</f>
        <v>Unknown</v>
      </c>
      <c r="L27" t="str">
        <f>IFERROR(INDEX(Restaurants!$C$5:$C$19,MATCH(B27,Restaurants!$A$5:$A$19,0)),"Unknown")</f>
        <v>West</v>
      </c>
      <c r="M27" t="e">
        <f ca="1">IF(OR(F27&lt;QStats!$B$8,F27&gt;QStats!$B$9),"Yes","No")</f>
        <v>#NAME?</v>
      </c>
    </row>
    <row r="28" spans="1:13" ht="14.4" x14ac:dyDescent="0.3">
      <c r="A28" t="s">
        <v>114</v>
      </c>
      <c r="B28" t="s">
        <v>57</v>
      </c>
      <c r="C28" t="s">
        <v>97</v>
      </c>
      <c r="D28" t="s">
        <v>48</v>
      </c>
      <c r="E28" s="6">
        <v>46273</v>
      </c>
      <c r="F28" s="7">
        <v>50</v>
      </c>
      <c r="G28" s="8">
        <v>4.8</v>
      </c>
      <c r="H28" s="9">
        <v>1185.08</v>
      </c>
      <c r="I28" t="s">
        <v>86</v>
      </c>
      <c r="J28" t="str">
        <f ca="1">IFERROR(_xludf.xlookup(B28,Restaurants!$A$5:$A$19,Restaurants!$B$5:$B$19),"Unknown")</f>
        <v>Unknown</v>
      </c>
      <c r="K28" t="str">
        <f ca="1">IFERROR(_xludf.xlookup(B28,Restaurants!$A$5:$A$19,Restaurants!$D$5:$D$19),"Unknown")</f>
        <v>Unknown</v>
      </c>
      <c r="L28" t="str">
        <f>IFERROR(INDEX(Restaurants!$C$5:$C$19,MATCH(B28,Restaurants!$A$5:$A$19,0)),"Unknown")</f>
        <v>East</v>
      </c>
      <c r="M28" t="e">
        <f ca="1">IF(OR(F28&lt;QStats!$B$8,F28&gt;QStats!$B$9),"Yes","No")</f>
        <v>#NAME?</v>
      </c>
    </row>
    <row r="29" spans="1:13" ht="14.4" x14ac:dyDescent="0.3">
      <c r="A29" t="s">
        <v>115</v>
      </c>
      <c r="B29" t="s">
        <v>67</v>
      </c>
      <c r="C29" t="s">
        <v>89</v>
      </c>
      <c r="D29" t="s">
        <v>45</v>
      </c>
      <c r="E29" s="6">
        <v>46228</v>
      </c>
      <c r="F29" s="7">
        <v>46</v>
      </c>
      <c r="G29" s="8">
        <v>4.4000000000000004</v>
      </c>
      <c r="H29" s="9">
        <v>1282.52</v>
      </c>
      <c r="I29" t="s">
        <v>86</v>
      </c>
      <c r="J29" t="str">
        <f ca="1">IFERROR(_xludf.xlookup(B29,Restaurants!$A$5:$A$19,Restaurants!$B$5:$B$19),"Unknown")</f>
        <v>Unknown</v>
      </c>
      <c r="K29" t="str">
        <f ca="1">IFERROR(_xludf.xlookup(B29,Restaurants!$A$5:$A$19,Restaurants!$D$5:$D$19),"Unknown")</f>
        <v>Unknown</v>
      </c>
      <c r="L29" t="str">
        <f>IFERROR(INDEX(Restaurants!$C$5:$C$19,MATCH(B29,Restaurants!$A$5:$A$19,0)),"Unknown")</f>
        <v>South</v>
      </c>
      <c r="M29" t="e">
        <f ca="1">IF(OR(F29&lt;QStats!$B$8,F29&gt;QStats!$B$9),"Yes","No")</f>
        <v>#NAME?</v>
      </c>
    </row>
    <row r="30" spans="1:13" ht="14.4" x14ac:dyDescent="0.3">
      <c r="A30" t="s">
        <v>116</v>
      </c>
      <c r="B30" t="s">
        <v>35</v>
      </c>
      <c r="C30" t="s">
        <v>85</v>
      </c>
      <c r="D30" t="s">
        <v>37</v>
      </c>
      <c r="E30" s="6">
        <v>46211</v>
      </c>
      <c r="F30" s="7">
        <v>27</v>
      </c>
      <c r="G30" s="8">
        <v>4.4000000000000004</v>
      </c>
      <c r="H30" s="9">
        <v>453.96</v>
      </c>
      <c r="I30" t="s">
        <v>86</v>
      </c>
      <c r="J30" t="str">
        <f ca="1">IFERROR(_xludf.xlookup(B30,Restaurants!$A$5:$A$19,Restaurants!$B$5:$B$19),"Unknown")</f>
        <v>Unknown</v>
      </c>
      <c r="K30" t="str">
        <f ca="1">IFERROR(_xludf.xlookup(B30,Restaurants!$A$5:$A$19,Restaurants!$D$5:$D$19),"Unknown")</f>
        <v>Unknown</v>
      </c>
      <c r="L30" t="str">
        <f>IFERROR(INDEX(Restaurants!$C$5:$C$19,MATCH(B30,Restaurants!$A$5:$A$19,0)),"Unknown")</f>
        <v>Central</v>
      </c>
      <c r="M30" t="e">
        <f ca="1">IF(OR(F30&lt;QStats!$B$8,F30&gt;QStats!$B$9),"Yes","No")</f>
        <v>#NAME?</v>
      </c>
    </row>
    <row r="31" spans="1:13" ht="14.4" x14ac:dyDescent="0.3">
      <c r="A31" t="s">
        <v>117</v>
      </c>
      <c r="B31" t="s">
        <v>57</v>
      </c>
      <c r="C31" t="s">
        <v>97</v>
      </c>
      <c r="D31" t="s">
        <v>48</v>
      </c>
      <c r="E31" s="6">
        <v>46258</v>
      </c>
      <c r="F31" s="7">
        <v>39</v>
      </c>
      <c r="G31" s="8">
        <v>4.7</v>
      </c>
      <c r="H31" s="9">
        <v>1213.8699999999999</v>
      </c>
      <c r="I31" t="s">
        <v>99</v>
      </c>
      <c r="J31" t="str">
        <f ca="1">IFERROR(_xludf.xlookup(B31,Restaurants!$A$5:$A$19,Restaurants!$B$5:$B$19),"Unknown")</f>
        <v>Unknown</v>
      </c>
      <c r="K31" t="str">
        <f ca="1">IFERROR(_xludf.xlookup(B31,Restaurants!$A$5:$A$19,Restaurants!$D$5:$D$19),"Unknown")</f>
        <v>Unknown</v>
      </c>
      <c r="L31" t="str">
        <f>IFERROR(INDEX(Restaurants!$C$5:$C$19,MATCH(B31,Restaurants!$A$5:$A$19,0)),"Unknown")</f>
        <v>East</v>
      </c>
      <c r="M31" t="e">
        <f ca="1">IF(OR(F31&lt;QStats!$B$8,F31&gt;QStats!$B$9),"Yes","No")</f>
        <v>#NAME?</v>
      </c>
    </row>
    <row r="32" spans="1:13" ht="14.4" x14ac:dyDescent="0.3">
      <c r="A32" t="s">
        <v>118</v>
      </c>
      <c r="B32" t="s">
        <v>69</v>
      </c>
      <c r="C32" t="s">
        <v>85</v>
      </c>
      <c r="D32" t="s">
        <v>52</v>
      </c>
      <c r="E32" s="6">
        <v>46210</v>
      </c>
      <c r="F32" s="7">
        <v>47</v>
      </c>
      <c r="G32" s="8">
        <v>3.3</v>
      </c>
      <c r="H32" s="9">
        <v>1263.9000000000001</v>
      </c>
      <c r="I32" t="s">
        <v>86</v>
      </c>
      <c r="J32" t="str">
        <f ca="1">IFERROR(_xludf.xlookup(B32,Restaurants!$A$5:$A$19,Restaurants!$B$5:$B$19),"Unknown")</f>
        <v>Unknown</v>
      </c>
      <c r="K32" t="str">
        <f ca="1">IFERROR(_xludf.xlookup(B32,Restaurants!$A$5:$A$19,Restaurants!$D$5:$D$19),"Unknown")</f>
        <v>Unknown</v>
      </c>
      <c r="L32" t="str">
        <f>IFERROR(INDEX(Restaurants!$C$5:$C$19,MATCH(B32,Restaurants!$A$5:$A$19,0)),"Unknown")</f>
        <v>North</v>
      </c>
      <c r="M32" t="e">
        <f ca="1">IF(OR(F32&lt;QStats!$B$8,F32&gt;QStats!$B$9),"Yes","No")</f>
        <v>#NAME?</v>
      </c>
    </row>
    <row r="33" spans="1:13" ht="14.4" x14ac:dyDescent="0.3">
      <c r="A33" t="s">
        <v>119</v>
      </c>
      <c r="B33" t="s">
        <v>43</v>
      </c>
      <c r="C33" t="s">
        <v>89</v>
      </c>
      <c r="D33" t="s">
        <v>45</v>
      </c>
      <c r="E33" s="6">
        <v>46266</v>
      </c>
      <c r="F33" s="7">
        <v>14</v>
      </c>
      <c r="G33" s="8">
        <v>4.2</v>
      </c>
      <c r="H33" s="9">
        <v>222.65</v>
      </c>
      <c r="I33" t="s">
        <v>86</v>
      </c>
      <c r="J33" t="str">
        <f ca="1">IFERROR(_xludf.xlookup(B33,Restaurants!$A$5:$A$19,Restaurants!$B$5:$B$19),"Unknown")</f>
        <v>Unknown</v>
      </c>
      <c r="K33" t="str">
        <f ca="1">IFERROR(_xludf.xlookup(B33,Restaurants!$A$5:$A$19,Restaurants!$D$5:$D$19),"Unknown")</f>
        <v>Unknown</v>
      </c>
      <c r="L33" t="str">
        <f>IFERROR(INDEX(Restaurants!$C$5:$C$19,MATCH(B33,Restaurants!$A$5:$A$19,0)),"Unknown")</f>
        <v>South</v>
      </c>
      <c r="M33" t="e">
        <f ca="1">IF(OR(F33&lt;QStats!$B$8,F33&gt;QStats!$B$9),"Yes","No")</f>
        <v>#NAME?</v>
      </c>
    </row>
    <row r="34" spans="1:13" ht="14.4" x14ac:dyDescent="0.3">
      <c r="A34" t="s">
        <v>120</v>
      </c>
      <c r="B34" t="s">
        <v>55</v>
      </c>
      <c r="C34" t="s">
        <v>91</v>
      </c>
      <c r="D34" t="s">
        <v>37</v>
      </c>
      <c r="E34" s="6">
        <v>46262</v>
      </c>
      <c r="F34" s="7">
        <v>31</v>
      </c>
      <c r="G34" s="8">
        <v>4.9000000000000004</v>
      </c>
      <c r="H34" s="9">
        <v>1034.0999999999999</v>
      </c>
      <c r="I34" t="s">
        <v>86</v>
      </c>
      <c r="J34" t="str">
        <f ca="1">IFERROR(_xludf.xlookup(B34,Restaurants!$A$5:$A$19,Restaurants!$B$5:$B$19),"Unknown")</f>
        <v>Unknown</v>
      </c>
      <c r="K34" t="str">
        <f ca="1">IFERROR(_xludf.xlookup(B34,Restaurants!$A$5:$A$19,Restaurants!$D$5:$D$19),"Unknown")</f>
        <v>Unknown</v>
      </c>
      <c r="L34" t="str">
        <f>IFERROR(INDEX(Restaurants!$C$5:$C$19,MATCH(B34,Restaurants!$A$5:$A$19,0)),"Unknown")</f>
        <v>Central</v>
      </c>
      <c r="M34" t="e">
        <f ca="1">IF(OR(F34&lt;QStats!$B$8,F34&gt;QStats!$B$9),"Yes","No")</f>
        <v>#NAME?</v>
      </c>
    </row>
    <row r="35" spans="1:13" ht="14.4" x14ac:dyDescent="0.3">
      <c r="A35" t="s">
        <v>121</v>
      </c>
      <c r="B35" t="s">
        <v>57</v>
      </c>
      <c r="C35" t="s">
        <v>97</v>
      </c>
      <c r="D35" t="s">
        <v>48</v>
      </c>
      <c r="E35" s="6">
        <v>46228</v>
      </c>
      <c r="F35" s="7">
        <v>26</v>
      </c>
      <c r="G35" s="8">
        <v>5</v>
      </c>
      <c r="H35" s="9">
        <v>1140.01</v>
      </c>
      <c r="I35" t="s">
        <v>86</v>
      </c>
      <c r="J35" t="str">
        <f ca="1">IFERROR(_xludf.xlookup(B35,Restaurants!$A$5:$A$19,Restaurants!$B$5:$B$19),"Unknown")</f>
        <v>Unknown</v>
      </c>
      <c r="K35" t="str">
        <f ca="1">IFERROR(_xludf.xlookup(B35,Restaurants!$A$5:$A$19,Restaurants!$D$5:$D$19),"Unknown")</f>
        <v>Unknown</v>
      </c>
      <c r="L35" t="str">
        <f>IFERROR(INDEX(Restaurants!$C$5:$C$19,MATCH(B35,Restaurants!$A$5:$A$19,0)),"Unknown")</f>
        <v>East</v>
      </c>
      <c r="M35" t="e">
        <f ca="1">IF(OR(F35&lt;QStats!$B$8,F35&gt;QStats!$B$9),"Yes","No")</f>
        <v>#NAME?</v>
      </c>
    </row>
    <row r="36" spans="1:13" ht="14.4" x14ac:dyDescent="0.3">
      <c r="A36" t="s">
        <v>122</v>
      </c>
      <c r="B36" t="s">
        <v>35</v>
      </c>
      <c r="C36" t="s">
        <v>85</v>
      </c>
      <c r="D36" t="s">
        <v>37</v>
      </c>
      <c r="E36" s="6">
        <v>46278</v>
      </c>
      <c r="F36" s="7">
        <v>12</v>
      </c>
      <c r="G36" s="8">
        <v>4.3</v>
      </c>
      <c r="H36" s="9">
        <v>844.63</v>
      </c>
      <c r="I36" t="s">
        <v>99</v>
      </c>
      <c r="J36" t="str">
        <f ca="1">IFERROR(_xludf.xlookup(B36,Restaurants!$A$5:$A$19,Restaurants!$B$5:$B$19),"Unknown")</f>
        <v>Unknown</v>
      </c>
      <c r="K36" t="str">
        <f ca="1">IFERROR(_xludf.xlookup(B36,Restaurants!$A$5:$A$19,Restaurants!$D$5:$D$19),"Unknown")</f>
        <v>Unknown</v>
      </c>
      <c r="L36" t="str">
        <f>IFERROR(INDEX(Restaurants!$C$5:$C$19,MATCH(B36,Restaurants!$A$5:$A$19,0)),"Unknown")</f>
        <v>Central</v>
      </c>
      <c r="M36" t="e">
        <f ca="1">IF(OR(F36&lt;QStats!$B$8,F36&gt;QStats!$B$9),"Yes","No")</f>
        <v>#NAME?</v>
      </c>
    </row>
    <row r="37" spans="1:13" ht="14.4" x14ac:dyDescent="0.3">
      <c r="A37" t="s">
        <v>123</v>
      </c>
      <c r="B37" t="s">
        <v>69</v>
      </c>
      <c r="C37" t="s">
        <v>97</v>
      </c>
      <c r="D37" t="s">
        <v>52</v>
      </c>
      <c r="E37" s="6">
        <v>46212</v>
      </c>
      <c r="F37" s="7">
        <v>22</v>
      </c>
      <c r="G37" s="8">
        <v>3.6</v>
      </c>
      <c r="H37" s="9">
        <v>1315.05</v>
      </c>
      <c r="I37" t="s">
        <v>86</v>
      </c>
      <c r="J37" t="str">
        <f ca="1">IFERROR(_xludf.xlookup(B37,Restaurants!$A$5:$A$19,Restaurants!$B$5:$B$19),"Unknown")</f>
        <v>Unknown</v>
      </c>
      <c r="K37" t="str">
        <f ca="1">IFERROR(_xludf.xlookup(B37,Restaurants!$A$5:$A$19,Restaurants!$D$5:$D$19),"Unknown")</f>
        <v>Unknown</v>
      </c>
      <c r="L37" t="str">
        <f>IFERROR(INDEX(Restaurants!$C$5:$C$19,MATCH(B37,Restaurants!$A$5:$A$19,0)),"Unknown")</f>
        <v>North</v>
      </c>
      <c r="M37" t="e">
        <f ca="1">IF(OR(F37&lt;QStats!$B$8,F37&gt;QStats!$B$9),"Yes","No")</f>
        <v>#NAME?</v>
      </c>
    </row>
    <row r="38" spans="1:13" ht="14.4" x14ac:dyDescent="0.3">
      <c r="A38" t="s">
        <v>124</v>
      </c>
      <c r="B38" t="s">
        <v>46</v>
      </c>
      <c r="C38" t="s">
        <v>85</v>
      </c>
      <c r="D38" t="s">
        <v>48</v>
      </c>
      <c r="E38" s="6">
        <v>46283</v>
      </c>
      <c r="F38" s="7">
        <v>47</v>
      </c>
      <c r="G38" s="8">
        <v>4.3</v>
      </c>
      <c r="H38" s="9">
        <v>540.74</v>
      </c>
      <c r="I38" t="s">
        <v>86</v>
      </c>
      <c r="J38" t="str">
        <f ca="1">IFERROR(_xludf.xlookup(B38,Restaurants!$A$5:$A$19,Restaurants!$B$5:$B$19),"Unknown")</f>
        <v>Unknown</v>
      </c>
      <c r="K38" t="str">
        <f ca="1">IFERROR(_xludf.xlookup(B38,Restaurants!$A$5:$A$19,Restaurants!$D$5:$D$19),"Unknown")</f>
        <v>Unknown</v>
      </c>
      <c r="L38" t="str">
        <f>IFERROR(INDEX(Restaurants!$C$5:$C$19,MATCH(B38,Restaurants!$A$5:$A$19,0)),"Unknown")</f>
        <v>East</v>
      </c>
      <c r="M38" t="e">
        <f ca="1">IF(OR(F38&lt;QStats!$B$8,F38&gt;QStats!$B$9),"Yes","No")</f>
        <v>#NAME?</v>
      </c>
    </row>
    <row r="39" spans="1:13" ht="14.4" x14ac:dyDescent="0.3">
      <c r="A39" t="s">
        <v>125</v>
      </c>
      <c r="B39" t="s">
        <v>63</v>
      </c>
      <c r="C39" t="s">
        <v>91</v>
      </c>
      <c r="D39" t="s">
        <v>37</v>
      </c>
      <c r="E39" s="6">
        <v>46234</v>
      </c>
      <c r="F39" s="7">
        <v>33</v>
      </c>
      <c r="G39" s="8">
        <v>4.4000000000000004</v>
      </c>
      <c r="H39" s="9">
        <v>1362.69</v>
      </c>
      <c r="I39" t="s">
        <v>86</v>
      </c>
      <c r="J39" t="str">
        <f ca="1">IFERROR(_xludf.xlookup(B39,Restaurants!$A$5:$A$19,Restaurants!$B$5:$B$19),"Unknown")</f>
        <v>Unknown</v>
      </c>
      <c r="K39" t="str">
        <f ca="1">IFERROR(_xludf.xlookup(B39,Restaurants!$A$5:$A$19,Restaurants!$D$5:$D$19),"Unknown")</f>
        <v>Unknown</v>
      </c>
      <c r="L39" t="str">
        <f>IFERROR(INDEX(Restaurants!$C$5:$C$19,MATCH(B39,Restaurants!$A$5:$A$19,0)),"Unknown")</f>
        <v>Central</v>
      </c>
      <c r="M39" t="e">
        <f ca="1">IF(OR(F39&lt;QStats!$B$8,F39&gt;QStats!$B$9),"Yes","No")</f>
        <v>#NAME?</v>
      </c>
    </row>
    <row r="40" spans="1:13" ht="14.4" x14ac:dyDescent="0.3">
      <c r="A40" t="s">
        <v>126</v>
      </c>
      <c r="B40" t="s">
        <v>71</v>
      </c>
      <c r="C40" t="s">
        <v>85</v>
      </c>
      <c r="D40" t="s">
        <v>48</v>
      </c>
      <c r="E40" s="6">
        <v>46205</v>
      </c>
      <c r="F40" s="7">
        <v>12</v>
      </c>
      <c r="G40" s="8">
        <v>4.5999999999999996</v>
      </c>
      <c r="H40" s="9">
        <v>482.18</v>
      </c>
      <c r="I40" t="s">
        <v>99</v>
      </c>
      <c r="J40" t="str">
        <f ca="1">IFERROR(_xludf.xlookup(B40,Restaurants!$A$5:$A$19,Restaurants!$B$5:$B$19),"Unknown")</f>
        <v>Unknown</v>
      </c>
      <c r="K40" t="str">
        <f ca="1">IFERROR(_xludf.xlookup(B40,Restaurants!$A$5:$A$19,Restaurants!$D$5:$D$19),"Unknown")</f>
        <v>Unknown</v>
      </c>
      <c r="L40" t="str">
        <f>IFERROR(INDEX(Restaurants!$C$5:$C$19,MATCH(B40,Restaurants!$A$5:$A$19,0)),"Unknown")</f>
        <v>East</v>
      </c>
      <c r="M40" t="e">
        <f ca="1">IF(OR(F40&lt;QStats!$B$8,F40&gt;QStats!$B$9),"Yes","No")</f>
        <v>#NAME?</v>
      </c>
    </row>
    <row r="41" spans="1:13" ht="14.4" x14ac:dyDescent="0.3">
      <c r="A41" t="s">
        <v>127</v>
      </c>
      <c r="B41" t="s">
        <v>50</v>
      </c>
      <c r="C41" t="s">
        <v>97</v>
      </c>
      <c r="D41" t="s">
        <v>52</v>
      </c>
      <c r="E41" s="6">
        <v>46248</v>
      </c>
      <c r="F41" s="7">
        <v>49</v>
      </c>
      <c r="G41" s="8">
        <v>3.1</v>
      </c>
      <c r="H41" s="9">
        <v>1245.51</v>
      </c>
      <c r="I41" t="s">
        <v>86</v>
      </c>
      <c r="J41" t="str">
        <f ca="1">IFERROR(_xludf.xlookup(B41,Restaurants!$A$5:$A$19,Restaurants!$B$5:$B$19),"Unknown")</f>
        <v>Unknown</v>
      </c>
      <c r="K41" t="str">
        <f ca="1">IFERROR(_xludf.xlookup(B41,Restaurants!$A$5:$A$19,Restaurants!$D$5:$D$19),"Unknown")</f>
        <v>Unknown</v>
      </c>
      <c r="L41" t="str">
        <f>IFERROR(INDEX(Restaurants!$C$5:$C$19,MATCH(B41,Restaurants!$A$5:$A$19,0)),"Unknown")</f>
        <v>North</v>
      </c>
      <c r="M41" t="e">
        <f ca="1">IF(OR(F41&lt;QStats!$B$8,F41&gt;QStats!$B$9),"Yes","No")</f>
        <v>#NAME?</v>
      </c>
    </row>
    <row r="42" spans="1:13" ht="14.4" x14ac:dyDescent="0.3">
      <c r="A42" t="s">
        <v>128</v>
      </c>
      <c r="B42" t="s">
        <v>65</v>
      </c>
      <c r="C42" t="s">
        <v>91</v>
      </c>
      <c r="D42" t="s">
        <v>41</v>
      </c>
      <c r="E42" s="6">
        <v>46282</v>
      </c>
      <c r="F42" s="7">
        <v>52</v>
      </c>
      <c r="G42" s="8">
        <v>3.6</v>
      </c>
      <c r="H42" s="9">
        <v>902.16</v>
      </c>
      <c r="I42" t="s">
        <v>106</v>
      </c>
      <c r="J42" t="str">
        <f ca="1">IFERROR(_xludf.xlookup(B42,Restaurants!$A$5:$A$19,Restaurants!$B$5:$B$19),"Unknown")</f>
        <v>Unknown</v>
      </c>
      <c r="K42" t="str">
        <f ca="1">IFERROR(_xludf.xlookup(B42,Restaurants!$A$5:$A$19,Restaurants!$D$5:$D$19),"Unknown")</f>
        <v>Unknown</v>
      </c>
      <c r="L42" t="str">
        <f>IFERROR(INDEX(Restaurants!$C$5:$C$19,MATCH(B42,Restaurants!$A$5:$A$19,0)),"Unknown")</f>
        <v>West</v>
      </c>
      <c r="M42" t="e">
        <f ca="1">IF(OR(F42&lt;QStats!$B$8,F42&gt;QStats!$B$9),"Yes","No")</f>
        <v>#NAME?</v>
      </c>
    </row>
    <row r="43" spans="1:13" ht="14.4" x14ac:dyDescent="0.3">
      <c r="A43" t="s">
        <v>129</v>
      </c>
      <c r="B43" t="s">
        <v>71</v>
      </c>
      <c r="C43" t="s">
        <v>85</v>
      </c>
      <c r="D43" t="s">
        <v>48</v>
      </c>
      <c r="E43" s="6">
        <v>46221</v>
      </c>
      <c r="F43" s="7">
        <v>32</v>
      </c>
      <c r="G43" s="8">
        <v>5</v>
      </c>
      <c r="H43" s="9">
        <v>566.55999999999995</v>
      </c>
      <c r="I43" t="s">
        <v>86</v>
      </c>
      <c r="J43" t="str">
        <f ca="1">IFERROR(_xludf.xlookup(B43,Restaurants!$A$5:$A$19,Restaurants!$B$5:$B$19),"Unknown")</f>
        <v>Unknown</v>
      </c>
      <c r="K43" t="str">
        <f ca="1">IFERROR(_xludf.xlookup(B43,Restaurants!$A$5:$A$19,Restaurants!$D$5:$D$19),"Unknown")</f>
        <v>Unknown</v>
      </c>
      <c r="L43" t="str">
        <f>IFERROR(INDEX(Restaurants!$C$5:$C$19,MATCH(B43,Restaurants!$A$5:$A$19,0)),"Unknown")</f>
        <v>East</v>
      </c>
      <c r="M43" t="e">
        <f ca="1">IF(OR(F43&lt;QStats!$B$8,F43&gt;QStats!$B$9),"Yes","No")</f>
        <v>#NAME?</v>
      </c>
    </row>
    <row r="44" spans="1:13" ht="14.4" x14ac:dyDescent="0.3">
      <c r="A44" t="s">
        <v>130</v>
      </c>
      <c r="B44" t="s">
        <v>46</v>
      </c>
      <c r="C44" t="s">
        <v>91</v>
      </c>
      <c r="D44" t="s">
        <v>48</v>
      </c>
      <c r="E44" s="6">
        <v>46230</v>
      </c>
      <c r="F44" s="7">
        <v>27</v>
      </c>
      <c r="G44" s="8">
        <v>3.1</v>
      </c>
      <c r="H44" s="9">
        <v>1337.04</v>
      </c>
      <c r="I44" t="s">
        <v>86</v>
      </c>
      <c r="J44" t="str">
        <f ca="1">IFERROR(_xludf.xlookup(B44,Restaurants!$A$5:$A$19,Restaurants!$B$5:$B$19),"Unknown")</f>
        <v>Unknown</v>
      </c>
      <c r="K44" t="str">
        <f ca="1">IFERROR(_xludf.xlookup(B44,Restaurants!$A$5:$A$19,Restaurants!$D$5:$D$19),"Unknown")</f>
        <v>Unknown</v>
      </c>
      <c r="L44" t="str">
        <f>IFERROR(INDEX(Restaurants!$C$5:$C$19,MATCH(B44,Restaurants!$A$5:$A$19,0)),"Unknown")</f>
        <v>East</v>
      </c>
      <c r="M44" t="e">
        <f ca="1">IF(OR(F44&lt;QStats!$B$8,F44&gt;QStats!$B$9),"Yes","No")</f>
        <v>#NAME?</v>
      </c>
    </row>
    <row r="45" spans="1:13" ht="14.4" x14ac:dyDescent="0.3">
      <c r="A45" t="s">
        <v>131</v>
      </c>
      <c r="B45" t="s">
        <v>35</v>
      </c>
      <c r="C45" t="s">
        <v>85</v>
      </c>
      <c r="D45" t="s">
        <v>37</v>
      </c>
      <c r="E45" s="6">
        <v>46285</v>
      </c>
      <c r="F45" s="7">
        <v>49</v>
      </c>
      <c r="G45" s="8">
        <v>4</v>
      </c>
      <c r="H45" s="9">
        <v>542.20000000000005</v>
      </c>
      <c r="I45" t="s">
        <v>86</v>
      </c>
      <c r="J45" t="str">
        <f ca="1">IFERROR(_xludf.xlookup(B45,Restaurants!$A$5:$A$19,Restaurants!$B$5:$B$19),"Unknown")</f>
        <v>Unknown</v>
      </c>
      <c r="K45" t="str">
        <f ca="1">IFERROR(_xludf.xlookup(B45,Restaurants!$A$5:$A$19,Restaurants!$D$5:$D$19),"Unknown")</f>
        <v>Unknown</v>
      </c>
      <c r="L45" t="str">
        <f>IFERROR(INDEX(Restaurants!$C$5:$C$19,MATCH(B45,Restaurants!$A$5:$A$19,0)),"Unknown")</f>
        <v>Central</v>
      </c>
      <c r="M45" t="e">
        <f ca="1">IF(OR(F45&lt;QStats!$B$8,F45&gt;QStats!$B$9),"Yes","No")</f>
        <v>#NAME?</v>
      </c>
    </row>
    <row r="46" spans="1:13" ht="14.4" x14ac:dyDescent="0.3">
      <c r="A46" t="s">
        <v>132</v>
      </c>
      <c r="B46" t="s">
        <v>65</v>
      </c>
      <c r="C46" t="s">
        <v>89</v>
      </c>
      <c r="D46" t="s">
        <v>41</v>
      </c>
      <c r="E46" s="6">
        <v>46274</v>
      </c>
      <c r="F46" s="7">
        <v>30</v>
      </c>
      <c r="G46" s="8">
        <v>3.4</v>
      </c>
      <c r="H46" s="9">
        <v>1069.95</v>
      </c>
      <c r="I46" t="s">
        <v>86</v>
      </c>
      <c r="J46" t="str">
        <f ca="1">IFERROR(_xludf.xlookup(B46,Restaurants!$A$5:$A$19,Restaurants!$B$5:$B$19),"Unknown")</f>
        <v>Unknown</v>
      </c>
      <c r="K46" t="str">
        <f ca="1">IFERROR(_xludf.xlookup(B46,Restaurants!$A$5:$A$19,Restaurants!$D$5:$D$19),"Unknown")</f>
        <v>Unknown</v>
      </c>
      <c r="L46" t="str">
        <f>IFERROR(INDEX(Restaurants!$C$5:$C$19,MATCH(B46,Restaurants!$A$5:$A$19,0)),"Unknown")</f>
        <v>West</v>
      </c>
      <c r="M46" t="e">
        <f ca="1">IF(OR(F46&lt;QStats!$B$8,F46&gt;QStats!$B$9),"Yes","No")</f>
        <v>#NAME?</v>
      </c>
    </row>
    <row r="47" spans="1:13" ht="14.4" x14ac:dyDescent="0.3">
      <c r="A47" t="s">
        <v>133</v>
      </c>
      <c r="B47" t="s">
        <v>43</v>
      </c>
      <c r="C47" t="s">
        <v>85</v>
      </c>
      <c r="D47" t="s">
        <v>45</v>
      </c>
      <c r="E47" s="6">
        <v>46251</v>
      </c>
      <c r="F47" s="7">
        <v>29</v>
      </c>
      <c r="G47" s="8">
        <v>3.9</v>
      </c>
      <c r="H47" s="9">
        <v>1325.75</v>
      </c>
      <c r="I47" t="s">
        <v>86</v>
      </c>
      <c r="J47" t="str">
        <f ca="1">IFERROR(_xludf.xlookup(B47,Restaurants!$A$5:$A$19,Restaurants!$B$5:$B$19),"Unknown")</f>
        <v>Unknown</v>
      </c>
      <c r="K47" t="str">
        <f ca="1">IFERROR(_xludf.xlookup(B47,Restaurants!$A$5:$A$19,Restaurants!$D$5:$D$19),"Unknown")</f>
        <v>Unknown</v>
      </c>
      <c r="L47" t="str">
        <f>IFERROR(INDEX(Restaurants!$C$5:$C$19,MATCH(B47,Restaurants!$A$5:$A$19,0)),"Unknown")</f>
        <v>South</v>
      </c>
      <c r="M47" t="e">
        <f ca="1">IF(OR(F47&lt;QStats!$B$8,F47&gt;QStats!$B$9),"Yes","No")</f>
        <v>#NAME?</v>
      </c>
    </row>
    <row r="48" spans="1:13" ht="14.4" x14ac:dyDescent="0.3">
      <c r="A48" t="s">
        <v>134</v>
      </c>
      <c r="B48" t="s">
        <v>67</v>
      </c>
      <c r="C48" t="s">
        <v>85</v>
      </c>
      <c r="D48" t="s">
        <v>45</v>
      </c>
      <c r="E48" s="6">
        <v>46249</v>
      </c>
      <c r="F48" s="7">
        <v>36</v>
      </c>
      <c r="G48" s="8">
        <v>4.5</v>
      </c>
      <c r="H48" s="9">
        <v>1307.49</v>
      </c>
      <c r="I48" t="s">
        <v>86</v>
      </c>
      <c r="J48" t="str">
        <f ca="1">IFERROR(_xludf.xlookup(B48,Restaurants!$A$5:$A$19,Restaurants!$B$5:$B$19),"Unknown")</f>
        <v>Unknown</v>
      </c>
      <c r="K48" t="str">
        <f ca="1">IFERROR(_xludf.xlookup(B48,Restaurants!$A$5:$A$19,Restaurants!$D$5:$D$19),"Unknown")</f>
        <v>Unknown</v>
      </c>
      <c r="L48" t="str">
        <f>IFERROR(INDEX(Restaurants!$C$5:$C$19,MATCH(B48,Restaurants!$A$5:$A$19,0)),"Unknown")</f>
        <v>South</v>
      </c>
      <c r="M48" t="e">
        <f ca="1">IF(OR(F48&lt;QStats!$B$8,F48&gt;QStats!$B$9),"Yes","No")</f>
        <v>#NAME?</v>
      </c>
    </row>
    <row r="49" spans="1:13" ht="14.4" x14ac:dyDescent="0.3">
      <c r="A49" t="s">
        <v>135</v>
      </c>
      <c r="B49" t="s">
        <v>55</v>
      </c>
      <c r="C49" t="s">
        <v>97</v>
      </c>
      <c r="D49" t="s">
        <v>37</v>
      </c>
      <c r="E49" s="6">
        <v>46234</v>
      </c>
      <c r="F49" s="7">
        <v>52</v>
      </c>
      <c r="G49" s="8">
        <v>2.6</v>
      </c>
      <c r="H49" s="9">
        <v>250.49</v>
      </c>
      <c r="I49" t="s">
        <v>106</v>
      </c>
      <c r="J49" t="str">
        <f ca="1">IFERROR(_xludf.xlookup(B49,Restaurants!$A$5:$A$19,Restaurants!$B$5:$B$19),"Unknown")</f>
        <v>Unknown</v>
      </c>
      <c r="K49" t="str">
        <f ca="1">IFERROR(_xludf.xlookup(B49,Restaurants!$A$5:$A$19,Restaurants!$D$5:$D$19),"Unknown")</f>
        <v>Unknown</v>
      </c>
      <c r="L49" t="str">
        <f>IFERROR(INDEX(Restaurants!$C$5:$C$19,MATCH(B49,Restaurants!$A$5:$A$19,0)),"Unknown")</f>
        <v>Central</v>
      </c>
      <c r="M49" t="e">
        <f ca="1">IF(OR(F49&lt;QStats!$B$8,F49&gt;QStats!$B$9),"Yes","No")</f>
        <v>#NAME?</v>
      </c>
    </row>
    <row r="50" spans="1:13" ht="14.4" x14ac:dyDescent="0.3">
      <c r="A50" t="s">
        <v>136</v>
      </c>
      <c r="B50" t="s">
        <v>65</v>
      </c>
      <c r="C50" t="s">
        <v>91</v>
      </c>
      <c r="D50" t="s">
        <v>41</v>
      </c>
      <c r="E50" s="6">
        <v>46256</v>
      </c>
      <c r="F50" s="7">
        <v>40</v>
      </c>
      <c r="G50" s="8">
        <v>3.1</v>
      </c>
      <c r="H50" s="9">
        <v>1188.47</v>
      </c>
      <c r="I50" t="s">
        <v>86</v>
      </c>
      <c r="J50" t="str">
        <f ca="1">IFERROR(_xludf.xlookup(B50,Restaurants!$A$5:$A$19,Restaurants!$B$5:$B$19),"Unknown")</f>
        <v>Unknown</v>
      </c>
      <c r="K50" t="str">
        <f ca="1">IFERROR(_xludf.xlookup(B50,Restaurants!$A$5:$A$19,Restaurants!$D$5:$D$19),"Unknown")</f>
        <v>Unknown</v>
      </c>
      <c r="L50" t="str">
        <f>IFERROR(INDEX(Restaurants!$C$5:$C$19,MATCH(B50,Restaurants!$A$5:$A$19,0)),"Unknown")</f>
        <v>West</v>
      </c>
      <c r="M50" t="e">
        <f ca="1">IF(OR(F50&lt;QStats!$B$8,F50&gt;QStats!$B$9),"Yes","No")</f>
        <v>#NAME?</v>
      </c>
    </row>
    <row r="51" spans="1:13" ht="14.4" x14ac:dyDescent="0.3">
      <c r="A51" t="s">
        <v>137</v>
      </c>
      <c r="B51" t="s">
        <v>39</v>
      </c>
      <c r="C51" t="s">
        <v>89</v>
      </c>
      <c r="D51" t="s">
        <v>41</v>
      </c>
      <c r="E51" s="6">
        <v>46208</v>
      </c>
      <c r="F51" s="7">
        <v>38</v>
      </c>
      <c r="G51" s="8">
        <v>3.8</v>
      </c>
      <c r="H51" s="9">
        <v>595.38</v>
      </c>
      <c r="I51" t="s">
        <v>86</v>
      </c>
      <c r="J51" t="str">
        <f ca="1">IFERROR(_xludf.xlookup(B51,Restaurants!$A$5:$A$19,Restaurants!$B$5:$B$19),"Unknown")</f>
        <v>Unknown</v>
      </c>
      <c r="K51" t="str">
        <f ca="1">IFERROR(_xludf.xlookup(B51,Restaurants!$A$5:$A$19,Restaurants!$D$5:$D$19),"Unknown")</f>
        <v>Unknown</v>
      </c>
      <c r="L51" t="str">
        <f>IFERROR(INDEX(Restaurants!$C$5:$C$19,MATCH(B51,Restaurants!$A$5:$A$19,0)),"Unknown")</f>
        <v>West</v>
      </c>
      <c r="M51" t="e">
        <f ca="1">IF(OR(F51&lt;QStats!$B$8,F51&gt;QStats!$B$9),"Yes","No")</f>
        <v>#NAME?</v>
      </c>
    </row>
    <row r="52" spans="1:13" ht="14.4" x14ac:dyDescent="0.3">
      <c r="A52" t="s">
        <v>138</v>
      </c>
      <c r="B52" t="s">
        <v>67</v>
      </c>
      <c r="C52" t="s">
        <v>97</v>
      </c>
      <c r="D52" t="s">
        <v>45</v>
      </c>
      <c r="E52" s="6">
        <v>46232</v>
      </c>
      <c r="F52" s="7">
        <v>40</v>
      </c>
      <c r="G52" s="8">
        <v>4.2</v>
      </c>
      <c r="H52" s="9">
        <v>1409.27</v>
      </c>
      <c r="I52" t="s">
        <v>86</v>
      </c>
      <c r="J52" t="str">
        <f ca="1">IFERROR(_xludf.xlookup(B52,Restaurants!$A$5:$A$19,Restaurants!$B$5:$B$19),"Unknown")</f>
        <v>Unknown</v>
      </c>
      <c r="K52" t="str">
        <f ca="1">IFERROR(_xludf.xlookup(B52,Restaurants!$A$5:$A$19,Restaurants!$D$5:$D$19),"Unknown")</f>
        <v>Unknown</v>
      </c>
      <c r="L52" t="str">
        <f>IFERROR(INDEX(Restaurants!$C$5:$C$19,MATCH(B52,Restaurants!$A$5:$A$19,0)),"Unknown")</f>
        <v>South</v>
      </c>
      <c r="M52" t="e">
        <f ca="1">IF(OR(F52&lt;QStats!$B$8,F52&gt;QStats!$B$9),"Yes","No")</f>
        <v>#NAME?</v>
      </c>
    </row>
    <row r="53" spans="1:13" ht="14.4" x14ac:dyDescent="0.3">
      <c r="A53" t="s">
        <v>139</v>
      </c>
      <c r="B53" t="s">
        <v>50</v>
      </c>
      <c r="C53" t="s">
        <v>91</v>
      </c>
      <c r="D53" t="s">
        <v>52</v>
      </c>
      <c r="E53" s="6">
        <v>46286</v>
      </c>
      <c r="F53" s="7">
        <v>19</v>
      </c>
      <c r="G53" s="8">
        <v>4.0999999999999996</v>
      </c>
      <c r="H53" s="9">
        <v>253.95</v>
      </c>
      <c r="I53" t="s">
        <v>86</v>
      </c>
      <c r="J53" t="str">
        <f ca="1">IFERROR(_xludf.xlookup(B53,Restaurants!$A$5:$A$19,Restaurants!$B$5:$B$19),"Unknown")</f>
        <v>Unknown</v>
      </c>
      <c r="K53" t="str">
        <f ca="1">IFERROR(_xludf.xlookup(B53,Restaurants!$A$5:$A$19,Restaurants!$D$5:$D$19),"Unknown")</f>
        <v>Unknown</v>
      </c>
      <c r="L53" t="str">
        <f>IFERROR(INDEX(Restaurants!$C$5:$C$19,MATCH(B53,Restaurants!$A$5:$A$19,0)),"Unknown")</f>
        <v>North</v>
      </c>
      <c r="M53" t="e">
        <f ca="1">IF(OR(F53&lt;QStats!$B$8,F53&gt;QStats!$B$9),"Yes","No")</f>
        <v>#NAME?</v>
      </c>
    </row>
    <row r="54" spans="1:13" ht="14.4" x14ac:dyDescent="0.3">
      <c r="A54" t="s">
        <v>140</v>
      </c>
      <c r="B54" t="s">
        <v>71</v>
      </c>
      <c r="C54" t="s">
        <v>91</v>
      </c>
      <c r="D54" t="s">
        <v>48</v>
      </c>
      <c r="E54" s="6">
        <v>46226</v>
      </c>
      <c r="F54" s="7">
        <v>40</v>
      </c>
      <c r="G54" s="8">
        <v>3.3</v>
      </c>
      <c r="H54" s="9">
        <v>1187.31</v>
      </c>
      <c r="I54" t="s">
        <v>86</v>
      </c>
      <c r="J54" t="str">
        <f ca="1">IFERROR(_xludf.xlookup(B54,Restaurants!$A$5:$A$19,Restaurants!$B$5:$B$19),"Unknown")</f>
        <v>Unknown</v>
      </c>
      <c r="K54" t="str">
        <f ca="1">IFERROR(_xludf.xlookup(B54,Restaurants!$A$5:$A$19,Restaurants!$D$5:$D$19),"Unknown")</f>
        <v>Unknown</v>
      </c>
      <c r="L54" t="str">
        <f>IFERROR(INDEX(Restaurants!$C$5:$C$19,MATCH(B54,Restaurants!$A$5:$A$19,0)),"Unknown")</f>
        <v>East</v>
      </c>
      <c r="M54" t="e">
        <f ca="1">IF(OR(F54&lt;QStats!$B$8,F54&gt;QStats!$B$9),"Yes","No")</f>
        <v>#NAME?</v>
      </c>
    </row>
    <row r="55" spans="1:13" ht="14.4" x14ac:dyDescent="0.3">
      <c r="A55" t="s">
        <v>141</v>
      </c>
      <c r="B55" t="s">
        <v>55</v>
      </c>
      <c r="C55" t="s">
        <v>85</v>
      </c>
      <c r="D55" t="s">
        <v>37</v>
      </c>
      <c r="E55" s="6">
        <v>46253</v>
      </c>
      <c r="F55" s="7">
        <v>70</v>
      </c>
      <c r="G55" s="8">
        <v>3</v>
      </c>
      <c r="H55" s="9">
        <v>1358.46</v>
      </c>
      <c r="I55" t="s">
        <v>99</v>
      </c>
      <c r="J55" t="str">
        <f ca="1">IFERROR(_xludf.xlookup(B55,Restaurants!$A$5:$A$19,Restaurants!$B$5:$B$19),"Unknown")</f>
        <v>Unknown</v>
      </c>
      <c r="K55" t="str">
        <f ca="1">IFERROR(_xludf.xlookup(B55,Restaurants!$A$5:$A$19,Restaurants!$D$5:$D$19),"Unknown")</f>
        <v>Unknown</v>
      </c>
      <c r="L55" t="str">
        <f>IFERROR(INDEX(Restaurants!$C$5:$C$19,MATCH(B55,Restaurants!$A$5:$A$19,0)),"Unknown")</f>
        <v>Central</v>
      </c>
      <c r="M55" t="e">
        <f ca="1">IF(OR(F55&lt;QStats!$B$8,F55&gt;QStats!$B$9),"Yes","No")</f>
        <v>#NAME?</v>
      </c>
    </row>
    <row r="56" spans="1:13" ht="14.4" x14ac:dyDescent="0.3">
      <c r="A56" t="s">
        <v>142</v>
      </c>
      <c r="B56" t="s">
        <v>59</v>
      </c>
      <c r="C56" t="s">
        <v>97</v>
      </c>
      <c r="D56" t="s">
        <v>52</v>
      </c>
      <c r="E56" s="6">
        <v>46250</v>
      </c>
      <c r="F56" s="7">
        <v>12</v>
      </c>
      <c r="G56" s="8">
        <v>4.7</v>
      </c>
      <c r="H56" s="9">
        <v>1035.97</v>
      </c>
      <c r="I56" t="s">
        <v>86</v>
      </c>
      <c r="J56" t="str">
        <f ca="1">IFERROR(_xludf.xlookup(B56,Restaurants!$A$5:$A$19,Restaurants!$B$5:$B$19),"Unknown")</f>
        <v>Unknown</v>
      </c>
      <c r="K56" t="str">
        <f ca="1">IFERROR(_xludf.xlookup(B56,Restaurants!$A$5:$A$19,Restaurants!$D$5:$D$19),"Unknown")</f>
        <v>Unknown</v>
      </c>
      <c r="L56" t="str">
        <f>IFERROR(INDEX(Restaurants!$C$5:$C$19,MATCH(B56,Restaurants!$A$5:$A$19,0)),"Unknown")</f>
        <v>North</v>
      </c>
      <c r="M56" t="e">
        <f ca="1">IF(OR(F56&lt;QStats!$B$8,F56&gt;QStats!$B$9),"Yes","No")</f>
        <v>#NAME?</v>
      </c>
    </row>
    <row r="57" spans="1:13" ht="14.4" x14ac:dyDescent="0.3">
      <c r="A57" t="s">
        <v>143</v>
      </c>
      <c r="B57" t="s">
        <v>39</v>
      </c>
      <c r="C57" t="s">
        <v>91</v>
      </c>
      <c r="D57" t="s">
        <v>41</v>
      </c>
      <c r="E57" s="6">
        <v>46268</v>
      </c>
      <c r="F57" s="7">
        <v>30</v>
      </c>
      <c r="G57" s="8">
        <v>4.5999999999999996</v>
      </c>
      <c r="H57" s="9">
        <v>376.56</v>
      </c>
      <c r="I57" t="s">
        <v>86</v>
      </c>
      <c r="J57" t="str">
        <f ca="1">IFERROR(_xludf.xlookup(B57,Restaurants!$A$5:$A$19,Restaurants!$B$5:$B$19),"Unknown")</f>
        <v>Unknown</v>
      </c>
      <c r="K57" t="str">
        <f ca="1">IFERROR(_xludf.xlookup(B57,Restaurants!$A$5:$A$19,Restaurants!$D$5:$D$19),"Unknown")</f>
        <v>Unknown</v>
      </c>
      <c r="L57" t="str">
        <f>IFERROR(INDEX(Restaurants!$C$5:$C$19,MATCH(B57,Restaurants!$A$5:$A$19,0)),"Unknown")</f>
        <v>West</v>
      </c>
      <c r="M57" t="e">
        <f ca="1">IF(OR(F57&lt;QStats!$B$8,F57&gt;QStats!$B$9),"Yes","No")</f>
        <v>#NAME?</v>
      </c>
    </row>
    <row r="58" spans="1:13" ht="14.4" x14ac:dyDescent="0.3">
      <c r="A58" t="s">
        <v>144</v>
      </c>
      <c r="B58" t="s">
        <v>55</v>
      </c>
      <c r="C58" t="s">
        <v>89</v>
      </c>
      <c r="D58" t="s">
        <v>37</v>
      </c>
      <c r="E58" s="6">
        <v>46290</v>
      </c>
      <c r="F58" s="7">
        <v>34</v>
      </c>
      <c r="G58" s="8">
        <v>3.8</v>
      </c>
      <c r="H58" s="9">
        <v>1245.48</v>
      </c>
      <c r="I58" t="s">
        <v>86</v>
      </c>
      <c r="J58" t="str">
        <f ca="1">IFERROR(_xludf.xlookup(B58,Restaurants!$A$5:$A$19,Restaurants!$B$5:$B$19),"Unknown")</f>
        <v>Unknown</v>
      </c>
      <c r="K58" t="str">
        <f ca="1">IFERROR(_xludf.xlookup(B58,Restaurants!$A$5:$A$19,Restaurants!$D$5:$D$19),"Unknown")</f>
        <v>Unknown</v>
      </c>
      <c r="L58" t="str">
        <f>IFERROR(INDEX(Restaurants!$C$5:$C$19,MATCH(B58,Restaurants!$A$5:$A$19,0)),"Unknown")</f>
        <v>Central</v>
      </c>
      <c r="M58" t="e">
        <f ca="1">IF(OR(F58&lt;QStats!$B$8,F58&gt;QStats!$B$9),"Yes","No")</f>
        <v>#NAME?</v>
      </c>
    </row>
    <row r="59" spans="1:13" ht="14.4" x14ac:dyDescent="0.3">
      <c r="A59" t="s">
        <v>145</v>
      </c>
      <c r="B59" t="s">
        <v>50</v>
      </c>
      <c r="C59" t="s">
        <v>91</v>
      </c>
      <c r="D59" t="s">
        <v>52</v>
      </c>
      <c r="E59" s="6">
        <v>46230</v>
      </c>
      <c r="F59" s="7">
        <v>22</v>
      </c>
      <c r="G59" s="8">
        <v>4.4000000000000004</v>
      </c>
      <c r="H59" s="9">
        <v>763.86</v>
      </c>
      <c r="I59" t="s">
        <v>86</v>
      </c>
      <c r="J59" t="str">
        <f ca="1">IFERROR(_xludf.xlookup(B59,Restaurants!$A$5:$A$19,Restaurants!$B$5:$B$19),"Unknown")</f>
        <v>Unknown</v>
      </c>
      <c r="K59" t="str">
        <f ca="1">IFERROR(_xludf.xlookup(B59,Restaurants!$A$5:$A$19,Restaurants!$D$5:$D$19),"Unknown")</f>
        <v>Unknown</v>
      </c>
      <c r="L59" t="str">
        <f>IFERROR(INDEX(Restaurants!$C$5:$C$19,MATCH(B59,Restaurants!$A$5:$A$19,0)),"Unknown")</f>
        <v>North</v>
      </c>
      <c r="M59" t="e">
        <f ca="1">IF(OR(F59&lt;QStats!$B$8,F59&gt;QStats!$B$9),"Yes","No")</f>
        <v>#NAME?</v>
      </c>
    </row>
    <row r="60" spans="1:13" ht="14.4" x14ac:dyDescent="0.3">
      <c r="A60" t="s">
        <v>146</v>
      </c>
      <c r="B60" t="s">
        <v>46</v>
      </c>
      <c r="C60" t="s">
        <v>89</v>
      </c>
      <c r="D60" t="s">
        <v>48</v>
      </c>
      <c r="E60" s="6">
        <v>46225</v>
      </c>
      <c r="F60" s="7">
        <v>30</v>
      </c>
      <c r="G60" s="8">
        <v>3.7</v>
      </c>
      <c r="H60" s="9">
        <v>334.87</v>
      </c>
      <c r="I60" t="s">
        <v>86</v>
      </c>
      <c r="J60" t="str">
        <f ca="1">IFERROR(_xludf.xlookup(B60,Restaurants!$A$5:$A$19,Restaurants!$B$5:$B$19),"Unknown")</f>
        <v>Unknown</v>
      </c>
      <c r="K60" t="str">
        <f ca="1">IFERROR(_xludf.xlookup(B60,Restaurants!$A$5:$A$19,Restaurants!$D$5:$D$19),"Unknown")</f>
        <v>Unknown</v>
      </c>
      <c r="L60" t="str">
        <f>IFERROR(INDEX(Restaurants!$C$5:$C$19,MATCH(B60,Restaurants!$A$5:$A$19,0)),"Unknown")</f>
        <v>East</v>
      </c>
      <c r="M60" t="e">
        <f ca="1">IF(OR(F60&lt;QStats!$B$8,F60&gt;QStats!$B$9),"Yes","No")</f>
        <v>#NAME?</v>
      </c>
    </row>
    <row r="61" spans="1:13" ht="14.4" x14ac:dyDescent="0.3">
      <c r="A61" t="s">
        <v>147</v>
      </c>
      <c r="B61" t="s">
        <v>67</v>
      </c>
      <c r="C61" t="s">
        <v>97</v>
      </c>
      <c r="D61" t="s">
        <v>45</v>
      </c>
      <c r="E61" s="6">
        <v>46290</v>
      </c>
      <c r="F61" s="7">
        <v>27</v>
      </c>
      <c r="G61" s="8">
        <v>5</v>
      </c>
      <c r="H61" s="9">
        <v>1430.24</v>
      </c>
      <c r="I61" t="s">
        <v>99</v>
      </c>
      <c r="J61" t="str">
        <f ca="1">IFERROR(_xludf.xlookup(B61,Restaurants!$A$5:$A$19,Restaurants!$B$5:$B$19),"Unknown")</f>
        <v>Unknown</v>
      </c>
      <c r="K61" t="str">
        <f ca="1">IFERROR(_xludf.xlookup(B61,Restaurants!$A$5:$A$19,Restaurants!$D$5:$D$19),"Unknown")</f>
        <v>Unknown</v>
      </c>
      <c r="L61" t="str">
        <f>IFERROR(INDEX(Restaurants!$C$5:$C$19,MATCH(B61,Restaurants!$A$5:$A$19,0)),"Unknown")</f>
        <v>South</v>
      </c>
      <c r="M61" t="e">
        <f ca="1">IF(OR(F61&lt;QStats!$B$8,F61&gt;QStats!$B$9),"Yes","No")</f>
        <v>#NAME?</v>
      </c>
    </row>
    <row r="62" spans="1:13" ht="14.4" x14ac:dyDescent="0.3">
      <c r="A62" t="s">
        <v>148</v>
      </c>
      <c r="B62" t="s">
        <v>61</v>
      </c>
      <c r="C62" t="s">
        <v>85</v>
      </c>
      <c r="D62" t="s">
        <v>45</v>
      </c>
      <c r="E62" s="6">
        <v>46262</v>
      </c>
      <c r="F62" s="7">
        <v>22</v>
      </c>
      <c r="G62" s="8">
        <v>4.5</v>
      </c>
      <c r="H62" s="9">
        <v>828.08</v>
      </c>
      <c r="I62" t="s">
        <v>86</v>
      </c>
      <c r="J62" t="str">
        <f ca="1">IFERROR(_xludf.xlookup(B62,Restaurants!$A$5:$A$19,Restaurants!$B$5:$B$19),"Unknown")</f>
        <v>Unknown</v>
      </c>
      <c r="K62" t="str">
        <f ca="1">IFERROR(_xludf.xlookup(B62,Restaurants!$A$5:$A$19,Restaurants!$D$5:$D$19),"Unknown")</f>
        <v>Unknown</v>
      </c>
      <c r="L62" t="str">
        <f>IFERROR(INDEX(Restaurants!$C$5:$C$19,MATCH(B62,Restaurants!$A$5:$A$19,0)),"Unknown")</f>
        <v>South</v>
      </c>
      <c r="M62" t="e">
        <f ca="1">IF(OR(F62&lt;QStats!$B$8,F62&gt;QStats!$B$9),"Yes","No")</f>
        <v>#NAME?</v>
      </c>
    </row>
    <row r="63" spans="1:13" ht="14.4" x14ac:dyDescent="0.3">
      <c r="A63" t="s">
        <v>149</v>
      </c>
      <c r="B63" t="s">
        <v>46</v>
      </c>
      <c r="C63" t="s">
        <v>97</v>
      </c>
      <c r="D63" t="s">
        <v>48</v>
      </c>
      <c r="E63" s="6">
        <v>46287</v>
      </c>
      <c r="F63" s="7">
        <v>26</v>
      </c>
      <c r="G63" s="8">
        <v>3</v>
      </c>
      <c r="H63" s="9">
        <v>1177.46</v>
      </c>
      <c r="I63" t="s">
        <v>86</v>
      </c>
      <c r="J63" t="str">
        <f ca="1">IFERROR(_xludf.xlookup(B63,Restaurants!$A$5:$A$19,Restaurants!$B$5:$B$19),"Unknown")</f>
        <v>Unknown</v>
      </c>
      <c r="K63" t="str">
        <f ca="1">IFERROR(_xludf.xlookup(B63,Restaurants!$A$5:$A$19,Restaurants!$D$5:$D$19),"Unknown")</f>
        <v>Unknown</v>
      </c>
      <c r="L63" t="str">
        <f>IFERROR(INDEX(Restaurants!$C$5:$C$19,MATCH(B63,Restaurants!$A$5:$A$19,0)),"Unknown")</f>
        <v>East</v>
      </c>
      <c r="M63" t="e">
        <f ca="1">IF(OR(F63&lt;QStats!$B$8,F63&gt;QStats!$B$9),"Yes","No")</f>
        <v>#NAME?</v>
      </c>
    </row>
    <row r="64" spans="1:13" ht="14.4" x14ac:dyDescent="0.3">
      <c r="A64" t="s">
        <v>150</v>
      </c>
      <c r="B64" t="s">
        <v>46</v>
      </c>
      <c r="C64" t="s">
        <v>97</v>
      </c>
      <c r="D64" t="s">
        <v>48</v>
      </c>
      <c r="E64" s="6">
        <v>46293</v>
      </c>
      <c r="F64" s="7">
        <v>31</v>
      </c>
      <c r="G64" s="8">
        <v>4.0999999999999996</v>
      </c>
      <c r="H64" s="9">
        <v>781.45</v>
      </c>
      <c r="I64" t="s">
        <v>86</v>
      </c>
      <c r="J64" t="str">
        <f ca="1">IFERROR(_xludf.xlookup(B64,Restaurants!$A$5:$A$19,Restaurants!$B$5:$B$19),"Unknown")</f>
        <v>Unknown</v>
      </c>
      <c r="K64" t="str">
        <f ca="1">IFERROR(_xludf.xlookup(B64,Restaurants!$A$5:$A$19,Restaurants!$D$5:$D$19),"Unknown")</f>
        <v>Unknown</v>
      </c>
      <c r="L64" t="str">
        <f>IFERROR(INDEX(Restaurants!$C$5:$C$19,MATCH(B64,Restaurants!$A$5:$A$19,0)),"Unknown")</f>
        <v>East</v>
      </c>
      <c r="M64" t="e">
        <f ca="1">IF(OR(F64&lt;QStats!$B$8,F64&gt;QStats!$B$9),"Yes","No")</f>
        <v>#NAME?</v>
      </c>
    </row>
    <row r="65" spans="1:13" ht="14.4" x14ac:dyDescent="0.3">
      <c r="A65" t="s">
        <v>151</v>
      </c>
      <c r="B65" t="s">
        <v>67</v>
      </c>
      <c r="C65" t="s">
        <v>89</v>
      </c>
      <c r="D65" t="s">
        <v>45</v>
      </c>
      <c r="E65" s="6">
        <v>46289</v>
      </c>
      <c r="F65" s="7">
        <v>21</v>
      </c>
      <c r="G65" s="8">
        <v>4</v>
      </c>
      <c r="H65" s="9">
        <v>764.37</v>
      </c>
      <c r="I65" t="s">
        <v>86</v>
      </c>
      <c r="J65" t="str">
        <f ca="1">IFERROR(_xludf.xlookup(B65,Restaurants!$A$5:$A$19,Restaurants!$B$5:$B$19),"Unknown")</f>
        <v>Unknown</v>
      </c>
      <c r="K65" t="str">
        <f ca="1">IFERROR(_xludf.xlookup(B65,Restaurants!$A$5:$A$19,Restaurants!$D$5:$D$19),"Unknown")</f>
        <v>Unknown</v>
      </c>
      <c r="L65" t="str">
        <f>IFERROR(INDEX(Restaurants!$C$5:$C$19,MATCH(B65,Restaurants!$A$5:$A$19,0)),"Unknown")</f>
        <v>South</v>
      </c>
      <c r="M65" t="e">
        <f ca="1">IF(OR(F65&lt;QStats!$B$8,F65&gt;QStats!$B$9),"Yes","No")</f>
        <v>#NAME?</v>
      </c>
    </row>
    <row r="66" spans="1:13" ht="14.4" x14ac:dyDescent="0.3">
      <c r="A66" t="s">
        <v>152</v>
      </c>
      <c r="B66" t="s">
        <v>69</v>
      </c>
      <c r="C66" t="s">
        <v>89</v>
      </c>
      <c r="D66" t="s">
        <v>52</v>
      </c>
      <c r="E66" s="6">
        <v>46274</v>
      </c>
      <c r="F66" s="7">
        <v>28</v>
      </c>
      <c r="G66" s="8">
        <v>4.2</v>
      </c>
      <c r="H66" s="9">
        <v>1144.69</v>
      </c>
      <c r="I66" t="s">
        <v>86</v>
      </c>
      <c r="J66" t="str">
        <f ca="1">IFERROR(_xludf.xlookup(B66,Restaurants!$A$5:$A$19,Restaurants!$B$5:$B$19),"Unknown")</f>
        <v>Unknown</v>
      </c>
      <c r="K66" t="str">
        <f ca="1">IFERROR(_xludf.xlookup(B66,Restaurants!$A$5:$A$19,Restaurants!$D$5:$D$19),"Unknown")</f>
        <v>Unknown</v>
      </c>
      <c r="L66" t="str">
        <f>IFERROR(INDEX(Restaurants!$C$5:$C$19,MATCH(B66,Restaurants!$A$5:$A$19,0)),"Unknown")</f>
        <v>North</v>
      </c>
      <c r="M66" t="e">
        <f ca="1">IF(OR(F66&lt;QStats!$B$8,F66&gt;QStats!$B$9),"Yes","No")</f>
        <v>#NAME?</v>
      </c>
    </row>
    <row r="67" spans="1:13" ht="14.4" x14ac:dyDescent="0.3">
      <c r="A67" t="s">
        <v>153</v>
      </c>
      <c r="B67" t="s">
        <v>69</v>
      </c>
      <c r="C67" t="s">
        <v>91</v>
      </c>
      <c r="D67" t="s">
        <v>52</v>
      </c>
      <c r="E67" s="6">
        <v>46270</v>
      </c>
      <c r="F67" s="7">
        <v>27</v>
      </c>
      <c r="G67" s="8">
        <v>4.0999999999999996</v>
      </c>
      <c r="H67" s="9">
        <v>508.43</v>
      </c>
      <c r="I67" t="s">
        <v>86</v>
      </c>
      <c r="J67" t="str">
        <f ca="1">IFERROR(_xludf.xlookup(B67,Restaurants!$A$5:$A$19,Restaurants!$B$5:$B$19),"Unknown")</f>
        <v>Unknown</v>
      </c>
      <c r="K67" t="str">
        <f ca="1">IFERROR(_xludf.xlookup(B67,Restaurants!$A$5:$A$19,Restaurants!$D$5:$D$19),"Unknown")</f>
        <v>Unknown</v>
      </c>
      <c r="L67" t="str">
        <f>IFERROR(INDEX(Restaurants!$C$5:$C$19,MATCH(B67,Restaurants!$A$5:$A$19,0)),"Unknown")</f>
        <v>North</v>
      </c>
      <c r="M67" t="e">
        <f ca="1">IF(OR(F67&lt;QStats!$B$8,F67&gt;QStats!$B$9),"Yes","No")</f>
        <v>#NAME?</v>
      </c>
    </row>
    <row r="68" spans="1:13" ht="14.4" x14ac:dyDescent="0.3">
      <c r="A68" t="s">
        <v>154</v>
      </c>
      <c r="B68" t="s">
        <v>53</v>
      </c>
      <c r="C68" t="s">
        <v>91</v>
      </c>
      <c r="D68" t="s">
        <v>41</v>
      </c>
      <c r="E68" s="6">
        <v>46273</v>
      </c>
      <c r="F68" s="7">
        <v>39</v>
      </c>
      <c r="G68" s="8">
        <v>4.3</v>
      </c>
      <c r="H68" s="9">
        <v>483.16</v>
      </c>
      <c r="I68" t="s">
        <v>86</v>
      </c>
      <c r="J68" t="str">
        <f ca="1">IFERROR(_xludf.xlookup(B68,Restaurants!$A$5:$A$19,Restaurants!$B$5:$B$19),"Unknown")</f>
        <v>Unknown</v>
      </c>
      <c r="K68" t="str">
        <f ca="1">IFERROR(_xludf.xlookup(B68,Restaurants!$A$5:$A$19,Restaurants!$D$5:$D$19),"Unknown")</f>
        <v>Unknown</v>
      </c>
      <c r="L68" t="str">
        <f>IFERROR(INDEX(Restaurants!$C$5:$C$19,MATCH(B68,Restaurants!$A$5:$A$19,0)),"Unknown")</f>
        <v>West</v>
      </c>
      <c r="M68" t="e">
        <f ca="1">IF(OR(F68&lt;QStats!$B$8,F68&gt;QStats!$B$9),"Yes","No")</f>
        <v>#NAME?</v>
      </c>
    </row>
    <row r="69" spans="1:13" ht="14.4" x14ac:dyDescent="0.3">
      <c r="A69" t="s">
        <v>155</v>
      </c>
      <c r="B69" t="s">
        <v>55</v>
      </c>
      <c r="C69" t="s">
        <v>89</v>
      </c>
      <c r="D69" t="s">
        <v>37</v>
      </c>
      <c r="E69" s="6">
        <v>46246</v>
      </c>
      <c r="F69" s="7">
        <v>24</v>
      </c>
      <c r="G69" s="8">
        <v>3.9</v>
      </c>
      <c r="H69" s="9">
        <v>1332.95</v>
      </c>
      <c r="I69" t="s">
        <v>86</v>
      </c>
      <c r="J69" t="str">
        <f ca="1">IFERROR(_xludf.xlookup(B69,Restaurants!$A$5:$A$19,Restaurants!$B$5:$B$19),"Unknown")</f>
        <v>Unknown</v>
      </c>
      <c r="K69" t="str">
        <f ca="1">IFERROR(_xludf.xlookup(B69,Restaurants!$A$5:$A$19,Restaurants!$D$5:$D$19),"Unknown")</f>
        <v>Unknown</v>
      </c>
      <c r="L69" t="str">
        <f>IFERROR(INDEX(Restaurants!$C$5:$C$19,MATCH(B69,Restaurants!$A$5:$A$19,0)),"Unknown")</f>
        <v>Central</v>
      </c>
      <c r="M69" t="e">
        <f ca="1">IF(OR(F69&lt;QStats!$B$8,F69&gt;QStats!$B$9),"Yes","No")</f>
        <v>#NAME?</v>
      </c>
    </row>
    <row r="70" spans="1:13" ht="14.4" x14ac:dyDescent="0.3">
      <c r="A70" t="s">
        <v>156</v>
      </c>
      <c r="B70" t="s">
        <v>61</v>
      </c>
      <c r="C70" t="s">
        <v>85</v>
      </c>
      <c r="D70" t="s">
        <v>45</v>
      </c>
      <c r="E70" s="6">
        <v>46277</v>
      </c>
      <c r="F70" s="7">
        <v>33</v>
      </c>
      <c r="G70" s="8">
        <v>4.0999999999999996</v>
      </c>
      <c r="H70" s="9">
        <v>1269.74</v>
      </c>
      <c r="I70" t="s">
        <v>86</v>
      </c>
      <c r="J70" t="str">
        <f ca="1">IFERROR(_xludf.xlookup(B70,Restaurants!$A$5:$A$19,Restaurants!$B$5:$B$19),"Unknown")</f>
        <v>Unknown</v>
      </c>
      <c r="K70" t="str">
        <f ca="1">IFERROR(_xludf.xlookup(B70,Restaurants!$A$5:$A$19,Restaurants!$D$5:$D$19),"Unknown")</f>
        <v>Unknown</v>
      </c>
      <c r="L70" t="str">
        <f>IFERROR(INDEX(Restaurants!$C$5:$C$19,MATCH(B70,Restaurants!$A$5:$A$19,0)),"Unknown")</f>
        <v>South</v>
      </c>
      <c r="M70" t="e">
        <f ca="1">IF(OR(F70&lt;QStats!$B$8,F70&gt;QStats!$B$9),"Yes","No")</f>
        <v>#NAME?</v>
      </c>
    </row>
    <row r="71" spans="1:13" ht="14.4" x14ac:dyDescent="0.3">
      <c r="A71" t="s">
        <v>157</v>
      </c>
      <c r="B71" t="s">
        <v>69</v>
      </c>
      <c r="C71" t="s">
        <v>89</v>
      </c>
      <c r="D71" t="s">
        <v>52</v>
      </c>
      <c r="E71" s="6">
        <v>46272</v>
      </c>
      <c r="F71" s="7">
        <v>34</v>
      </c>
      <c r="G71" s="8">
        <v>3.4</v>
      </c>
      <c r="H71" s="9">
        <v>489.89</v>
      </c>
      <c r="I71" t="s">
        <v>86</v>
      </c>
      <c r="J71" t="str">
        <f ca="1">IFERROR(_xludf.xlookup(B71,Restaurants!$A$5:$A$19,Restaurants!$B$5:$B$19),"Unknown")</f>
        <v>Unknown</v>
      </c>
      <c r="K71" t="str">
        <f ca="1">IFERROR(_xludf.xlookup(B71,Restaurants!$A$5:$A$19,Restaurants!$D$5:$D$19),"Unknown")</f>
        <v>Unknown</v>
      </c>
      <c r="L71" t="str">
        <f>IFERROR(INDEX(Restaurants!$C$5:$C$19,MATCH(B71,Restaurants!$A$5:$A$19,0)),"Unknown")</f>
        <v>North</v>
      </c>
      <c r="M71" t="e">
        <f ca="1">IF(OR(F71&lt;QStats!$B$8,F71&gt;QStats!$B$9),"Yes","No")</f>
        <v>#NAME?</v>
      </c>
    </row>
    <row r="72" spans="1:13" ht="14.4" x14ac:dyDescent="0.3">
      <c r="A72" t="s">
        <v>158</v>
      </c>
      <c r="B72" t="s">
        <v>55</v>
      </c>
      <c r="C72" t="s">
        <v>89</v>
      </c>
      <c r="D72" t="s">
        <v>37</v>
      </c>
      <c r="E72" s="6">
        <v>46207</v>
      </c>
      <c r="F72" s="7">
        <v>23</v>
      </c>
      <c r="G72" s="8">
        <v>4.5999999999999996</v>
      </c>
      <c r="H72" s="9">
        <v>1253.82</v>
      </c>
      <c r="I72" t="s">
        <v>86</v>
      </c>
      <c r="J72" t="str">
        <f ca="1">IFERROR(_xludf.xlookup(B72,Restaurants!$A$5:$A$19,Restaurants!$B$5:$B$19),"Unknown")</f>
        <v>Unknown</v>
      </c>
      <c r="K72" t="str">
        <f ca="1">IFERROR(_xludf.xlookup(B72,Restaurants!$A$5:$A$19,Restaurants!$D$5:$D$19),"Unknown")</f>
        <v>Unknown</v>
      </c>
      <c r="L72" t="str">
        <f>IFERROR(INDEX(Restaurants!$C$5:$C$19,MATCH(B72,Restaurants!$A$5:$A$19,0)),"Unknown")</f>
        <v>Central</v>
      </c>
      <c r="M72" t="e">
        <f ca="1">IF(OR(F72&lt;QStats!$B$8,F72&gt;QStats!$B$9),"Yes","No")</f>
        <v>#NAME?</v>
      </c>
    </row>
    <row r="73" spans="1:13" ht="14.4" x14ac:dyDescent="0.3">
      <c r="A73" t="s">
        <v>159</v>
      </c>
      <c r="B73" t="s">
        <v>71</v>
      </c>
      <c r="C73" t="s">
        <v>97</v>
      </c>
      <c r="D73" t="s">
        <v>48</v>
      </c>
      <c r="E73" s="6">
        <v>46283</v>
      </c>
      <c r="F73" s="7">
        <v>13</v>
      </c>
      <c r="G73" s="8">
        <v>3.8</v>
      </c>
      <c r="H73" s="9">
        <v>323.26</v>
      </c>
      <c r="I73" t="s">
        <v>86</v>
      </c>
      <c r="J73" t="str">
        <f ca="1">IFERROR(_xludf.xlookup(B73,Restaurants!$A$5:$A$19,Restaurants!$B$5:$B$19),"Unknown")</f>
        <v>Unknown</v>
      </c>
      <c r="K73" t="str">
        <f ca="1">IFERROR(_xludf.xlookup(B73,Restaurants!$A$5:$A$19,Restaurants!$D$5:$D$19),"Unknown")</f>
        <v>Unknown</v>
      </c>
      <c r="L73" t="str">
        <f>IFERROR(INDEX(Restaurants!$C$5:$C$19,MATCH(B73,Restaurants!$A$5:$A$19,0)),"Unknown")</f>
        <v>East</v>
      </c>
      <c r="M73" t="e">
        <f ca="1">IF(OR(F73&lt;QStats!$B$8,F73&gt;QStats!$B$9),"Yes","No")</f>
        <v>#NAME?</v>
      </c>
    </row>
    <row r="74" spans="1:13" ht="14.4" x14ac:dyDescent="0.3">
      <c r="A74" t="s">
        <v>160</v>
      </c>
      <c r="B74" t="s">
        <v>55</v>
      </c>
      <c r="C74" t="s">
        <v>97</v>
      </c>
      <c r="D74" t="s">
        <v>37</v>
      </c>
      <c r="E74" s="6">
        <v>46263</v>
      </c>
      <c r="F74" s="7">
        <v>37</v>
      </c>
      <c r="G74" s="8">
        <v>4.5</v>
      </c>
      <c r="H74" s="9">
        <v>635.13</v>
      </c>
      <c r="I74" t="s">
        <v>86</v>
      </c>
      <c r="J74" t="str">
        <f ca="1">IFERROR(_xludf.xlookup(B74,Restaurants!$A$5:$A$19,Restaurants!$B$5:$B$19),"Unknown")</f>
        <v>Unknown</v>
      </c>
      <c r="K74" t="str">
        <f ca="1">IFERROR(_xludf.xlookup(B74,Restaurants!$A$5:$A$19,Restaurants!$D$5:$D$19),"Unknown")</f>
        <v>Unknown</v>
      </c>
      <c r="L74" t="str">
        <f>IFERROR(INDEX(Restaurants!$C$5:$C$19,MATCH(B74,Restaurants!$A$5:$A$19,0)),"Unknown")</f>
        <v>Central</v>
      </c>
      <c r="M74" t="e">
        <f ca="1">IF(OR(F74&lt;QStats!$B$8,F74&gt;QStats!$B$9),"Yes","No")</f>
        <v>#NAME?</v>
      </c>
    </row>
    <row r="75" spans="1:13" ht="14.4" x14ac:dyDescent="0.3">
      <c r="A75" t="s">
        <v>161</v>
      </c>
      <c r="B75" t="s">
        <v>71</v>
      </c>
      <c r="C75" t="s">
        <v>89</v>
      </c>
      <c r="D75" t="s">
        <v>48</v>
      </c>
      <c r="E75" s="6">
        <v>46239</v>
      </c>
      <c r="F75" s="7">
        <v>34</v>
      </c>
      <c r="G75" s="8">
        <v>3.1</v>
      </c>
      <c r="H75" s="9">
        <v>243.84</v>
      </c>
      <c r="I75" t="s">
        <v>86</v>
      </c>
      <c r="J75" t="str">
        <f ca="1">IFERROR(_xludf.xlookup(B75,Restaurants!$A$5:$A$19,Restaurants!$B$5:$B$19),"Unknown")</f>
        <v>Unknown</v>
      </c>
      <c r="K75" t="str">
        <f ca="1">IFERROR(_xludf.xlookup(B75,Restaurants!$A$5:$A$19,Restaurants!$D$5:$D$19),"Unknown")</f>
        <v>Unknown</v>
      </c>
      <c r="L75" t="str">
        <f>IFERROR(INDEX(Restaurants!$C$5:$C$19,MATCH(B75,Restaurants!$A$5:$A$19,0)),"Unknown")</f>
        <v>East</v>
      </c>
      <c r="M75" t="e">
        <f ca="1">IF(OR(F75&lt;QStats!$B$8,F75&gt;QStats!$B$9),"Yes","No")</f>
        <v>#NAME?</v>
      </c>
    </row>
    <row r="76" spans="1:13" ht="14.4" x14ac:dyDescent="0.3">
      <c r="A76" t="s">
        <v>162</v>
      </c>
      <c r="B76" t="s">
        <v>59</v>
      </c>
      <c r="C76" t="s">
        <v>85</v>
      </c>
      <c r="D76" t="s">
        <v>52</v>
      </c>
      <c r="E76" s="6">
        <v>46248</v>
      </c>
      <c r="F76" s="7">
        <v>35</v>
      </c>
      <c r="G76" s="8">
        <v>4.3</v>
      </c>
      <c r="H76" s="9">
        <v>258.17</v>
      </c>
      <c r="I76" t="s">
        <v>99</v>
      </c>
      <c r="J76" t="str">
        <f ca="1">IFERROR(_xludf.xlookup(B76,Restaurants!$A$5:$A$19,Restaurants!$B$5:$B$19),"Unknown")</f>
        <v>Unknown</v>
      </c>
      <c r="K76" t="str">
        <f ca="1">IFERROR(_xludf.xlookup(B76,Restaurants!$A$5:$A$19,Restaurants!$D$5:$D$19),"Unknown")</f>
        <v>Unknown</v>
      </c>
      <c r="L76" t="str">
        <f>IFERROR(INDEX(Restaurants!$C$5:$C$19,MATCH(B76,Restaurants!$A$5:$A$19,0)),"Unknown")</f>
        <v>North</v>
      </c>
      <c r="M76" t="e">
        <f ca="1">IF(OR(F76&lt;QStats!$B$8,F76&gt;QStats!$B$9),"Yes","No")</f>
        <v>#NAME?</v>
      </c>
    </row>
    <row r="77" spans="1:13" ht="14.4" x14ac:dyDescent="0.3">
      <c r="A77" t="s">
        <v>163</v>
      </c>
      <c r="B77" t="s">
        <v>46</v>
      </c>
      <c r="C77" t="s">
        <v>97</v>
      </c>
      <c r="D77" t="s">
        <v>48</v>
      </c>
      <c r="E77" s="6">
        <v>46206</v>
      </c>
      <c r="F77" s="7">
        <v>29</v>
      </c>
      <c r="G77" s="8">
        <v>3.8</v>
      </c>
      <c r="H77" s="9">
        <v>1385.74</v>
      </c>
      <c r="I77" t="s">
        <v>86</v>
      </c>
      <c r="J77" t="str">
        <f ca="1">IFERROR(_xludf.xlookup(B77,Restaurants!$A$5:$A$19,Restaurants!$B$5:$B$19),"Unknown")</f>
        <v>Unknown</v>
      </c>
      <c r="K77" t="str">
        <f ca="1">IFERROR(_xludf.xlookup(B77,Restaurants!$A$5:$A$19,Restaurants!$D$5:$D$19),"Unknown")</f>
        <v>Unknown</v>
      </c>
      <c r="L77" t="str">
        <f>IFERROR(INDEX(Restaurants!$C$5:$C$19,MATCH(B77,Restaurants!$A$5:$A$19,0)),"Unknown")</f>
        <v>East</v>
      </c>
      <c r="M77" t="e">
        <f ca="1">IF(OR(F77&lt;QStats!$B$8,F77&gt;QStats!$B$9),"Yes","No")</f>
        <v>#NAME?</v>
      </c>
    </row>
    <row r="78" spans="1:13" ht="14.4" x14ac:dyDescent="0.3">
      <c r="A78" t="s">
        <v>164</v>
      </c>
      <c r="B78" t="s">
        <v>57</v>
      </c>
      <c r="C78" t="s">
        <v>91</v>
      </c>
      <c r="D78" t="s">
        <v>48</v>
      </c>
      <c r="E78" s="6">
        <v>46251</v>
      </c>
      <c r="F78" s="7">
        <v>41</v>
      </c>
      <c r="G78" s="8">
        <v>4.7</v>
      </c>
      <c r="H78" s="9">
        <v>1227.74</v>
      </c>
      <c r="I78" t="s">
        <v>86</v>
      </c>
      <c r="J78" t="str">
        <f ca="1">IFERROR(_xludf.xlookup(B78,Restaurants!$A$5:$A$19,Restaurants!$B$5:$B$19),"Unknown")</f>
        <v>Unknown</v>
      </c>
      <c r="K78" t="str">
        <f ca="1">IFERROR(_xludf.xlookup(B78,Restaurants!$A$5:$A$19,Restaurants!$D$5:$D$19),"Unknown")</f>
        <v>Unknown</v>
      </c>
      <c r="L78" t="str">
        <f>IFERROR(INDEX(Restaurants!$C$5:$C$19,MATCH(B78,Restaurants!$A$5:$A$19,0)),"Unknown")</f>
        <v>East</v>
      </c>
      <c r="M78" t="e">
        <f ca="1">IF(OR(F78&lt;QStats!$B$8,F78&gt;QStats!$B$9),"Yes","No")</f>
        <v>#NAME?</v>
      </c>
    </row>
    <row r="79" spans="1:13" ht="14.4" x14ac:dyDescent="0.3">
      <c r="A79" t="s">
        <v>165</v>
      </c>
      <c r="B79" t="s">
        <v>50</v>
      </c>
      <c r="C79" t="s">
        <v>85</v>
      </c>
      <c r="D79" t="s">
        <v>52</v>
      </c>
      <c r="E79" s="6">
        <v>46278</v>
      </c>
      <c r="F79" s="7">
        <v>43</v>
      </c>
      <c r="G79" s="8">
        <v>4.0999999999999996</v>
      </c>
      <c r="H79" s="9">
        <v>707.88</v>
      </c>
      <c r="I79" t="s">
        <v>86</v>
      </c>
      <c r="J79" t="str">
        <f ca="1">IFERROR(_xludf.xlookup(B79,Restaurants!$A$5:$A$19,Restaurants!$B$5:$B$19),"Unknown")</f>
        <v>Unknown</v>
      </c>
      <c r="K79" t="str">
        <f ca="1">IFERROR(_xludf.xlookup(B79,Restaurants!$A$5:$A$19,Restaurants!$D$5:$D$19),"Unknown")</f>
        <v>Unknown</v>
      </c>
      <c r="L79" t="str">
        <f>IFERROR(INDEX(Restaurants!$C$5:$C$19,MATCH(B79,Restaurants!$A$5:$A$19,0)),"Unknown")</f>
        <v>North</v>
      </c>
      <c r="M79" t="e">
        <f ca="1">IF(OR(F79&lt;QStats!$B$8,F79&gt;QStats!$B$9),"Yes","No")</f>
        <v>#NAME?</v>
      </c>
    </row>
    <row r="80" spans="1:13" ht="14.4" x14ac:dyDescent="0.3">
      <c r="A80" t="s">
        <v>166</v>
      </c>
      <c r="B80" t="s">
        <v>65</v>
      </c>
      <c r="C80" t="s">
        <v>97</v>
      </c>
      <c r="D80" t="s">
        <v>41</v>
      </c>
      <c r="E80" s="6">
        <v>46213</v>
      </c>
      <c r="F80" s="7">
        <v>18</v>
      </c>
      <c r="G80" s="8">
        <v>3.5</v>
      </c>
      <c r="H80" s="9">
        <v>590.95000000000005</v>
      </c>
      <c r="I80" t="s">
        <v>86</v>
      </c>
      <c r="J80" t="str">
        <f ca="1">IFERROR(_xludf.xlookup(B80,Restaurants!$A$5:$A$19,Restaurants!$B$5:$B$19),"Unknown")</f>
        <v>Unknown</v>
      </c>
      <c r="K80" t="str">
        <f ca="1">IFERROR(_xludf.xlookup(B80,Restaurants!$A$5:$A$19,Restaurants!$D$5:$D$19),"Unknown")</f>
        <v>Unknown</v>
      </c>
      <c r="L80" t="str">
        <f>IFERROR(INDEX(Restaurants!$C$5:$C$19,MATCH(B80,Restaurants!$A$5:$A$19,0)),"Unknown")</f>
        <v>West</v>
      </c>
      <c r="M80" t="e">
        <f ca="1">IF(OR(F80&lt;QStats!$B$8,F80&gt;QStats!$B$9),"Yes","No")</f>
        <v>#NAME?</v>
      </c>
    </row>
    <row r="81" spans="1:13" ht="14.4" x14ac:dyDescent="0.3">
      <c r="A81" t="s">
        <v>167</v>
      </c>
      <c r="B81" t="s">
        <v>63</v>
      </c>
      <c r="C81" t="s">
        <v>85</v>
      </c>
      <c r="D81" t="s">
        <v>37</v>
      </c>
      <c r="E81" s="6">
        <v>46276</v>
      </c>
      <c r="F81" s="7">
        <v>36</v>
      </c>
      <c r="G81" s="8">
        <v>3.6</v>
      </c>
      <c r="H81" s="9">
        <v>842.33</v>
      </c>
      <c r="I81" t="s">
        <v>86</v>
      </c>
      <c r="J81" t="str">
        <f ca="1">IFERROR(_xludf.xlookup(B81,Restaurants!$A$5:$A$19,Restaurants!$B$5:$B$19),"Unknown")</f>
        <v>Unknown</v>
      </c>
      <c r="K81" t="str">
        <f ca="1">IFERROR(_xludf.xlookup(B81,Restaurants!$A$5:$A$19,Restaurants!$D$5:$D$19),"Unknown")</f>
        <v>Unknown</v>
      </c>
      <c r="L81" t="str">
        <f>IFERROR(INDEX(Restaurants!$C$5:$C$19,MATCH(B81,Restaurants!$A$5:$A$19,0)),"Unknown")</f>
        <v>Central</v>
      </c>
      <c r="M81" t="e">
        <f ca="1">IF(OR(F81&lt;QStats!$B$8,F81&gt;QStats!$B$9),"Yes","No")</f>
        <v>#NAME?</v>
      </c>
    </row>
    <row r="82" spans="1:13" ht="14.4" x14ac:dyDescent="0.3">
      <c r="A82" t="s">
        <v>168</v>
      </c>
      <c r="B82" t="s">
        <v>53</v>
      </c>
      <c r="C82" t="s">
        <v>85</v>
      </c>
      <c r="D82" t="s">
        <v>41</v>
      </c>
      <c r="E82" s="6">
        <v>46257</v>
      </c>
      <c r="F82" s="7">
        <v>36</v>
      </c>
      <c r="G82" s="8">
        <v>3.9</v>
      </c>
      <c r="H82" s="9">
        <v>1239.31</v>
      </c>
      <c r="I82" t="s">
        <v>86</v>
      </c>
      <c r="J82" t="str">
        <f ca="1">IFERROR(_xludf.xlookup(B82,Restaurants!$A$5:$A$19,Restaurants!$B$5:$B$19),"Unknown")</f>
        <v>Unknown</v>
      </c>
      <c r="K82" t="str">
        <f ca="1">IFERROR(_xludf.xlookup(B82,Restaurants!$A$5:$A$19,Restaurants!$D$5:$D$19),"Unknown")</f>
        <v>Unknown</v>
      </c>
      <c r="L82" t="str">
        <f>IFERROR(INDEX(Restaurants!$C$5:$C$19,MATCH(B82,Restaurants!$A$5:$A$19,0)),"Unknown")</f>
        <v>West</v>
      </c>
      <c r="M82" t="e">
        <f ca="1">IF(OR(F82&lt;QStats!$B$8,F82&gt;QStats!$B$9),"Yes","No")</f>
        <v>#NAME?</v>
      </c>
    </row>
    <row r="83" spans="1:13" ht="14.4" x14ac:dyDescent="0.3">
      <c r="A83" t="s">
        <v>169</v>
      </c>
      <c r="B83" t="s">
        <v>65</v>
      </c>
      <c r="C83" t="s">
        <v>97</v>
      </c>
      <c r="D83" t="s">
        <v>41</v>
      </c>
      <c r="E83" s="6">
        <v>46259</v>
      </c>
      <c r="F83" s="7">
        <v>39</v>
      </c>
      <c r="G83" s="8">
        <v>4.7</v>
      </c>
      <c r="H83" s="9">
        <v>1351.13</v>
      </c>
      <c r="I83" t="s">
        <v>86</v>
      </c>
      <c r="J83" t="str">
        <f ca="1">IFERROR(_xludf.xlookup(B83,Restaurants!$A$5:$A$19,Restaurants!$B$5:$B$19),"Unknown")</f>
        <v>Unknown</v>
      </c>
      <c r="K83" t="str">
        <f ca="1">IFERROR(_xludf.xlookup(B83,Restaurants!$A$5:$A$19,Restaurants!$D$5:$D$19),"Unknown")</f>
        <v>Unknown</v>
      </c>
      <c r="L83" t="str">
        <f>IFERROR(INDEX(Restaurants!$C$5:$C$19,MATCH(B83,Restaurants!$A$5:$A$19,0)),"Unknown")</f>
        <v>West</v>
      </c>
      <c r="M83" t="e">
        <f ca="1">IF(OR(F83&lt;QStats!$B$8,F83&gt;QStats!$B$9),"Yes","No")</f>
        <v>#NAME?</v>
      </c>
    </row>
    <row r="84" spans="1:13" ht="14.4" x14ac:dyDescent="0.3">
      <c r="A84" t="s">
        <v>170</v>
      </c>
      <c r="B84" t="s">
        <v>67</v>
      </c>
      <c r="C84" t="s">
        <v>89</v>
      </c>
      <c r="D84" t="s">
        <v>45</v>
      </c>
      <c r="E84" s="6">
        <v>46263</v>
      </c>
      <c r="F84" s="7">
        <v>19</v>
      </c>
      <c r="G84" s="8">
        <v>4.5</v>
      </c>
      <c r="H84" s="9">
        <v>1241.8</v>
      </c>
      <c r="I84" t="s">
        <v>86</v>
      </c>
      <c r="J84" t="str">
        <f ca="1">IFERROR(_xludf.xlookup(B84,Restaurants!$A$5:$A$19,Restaurants!$B$5:$B$19),"Unknown")</f>
        <v>Unknown</v>
      </c>
      <c r="K84" t="str">
        <f ca="1">IFERROR(_xludf.xlookup(B84,Restaurants!$A$5:$A$19,Restaurants!$D$5:$D$19),"Unknown")</f>
        <v>Unknown</v>
      </c>
      <c r="L84" t="str">
        <f>IFERROR(INDEX(Restaurants!$C$5:$C$19,MATCH(B84,Restaurants!$A$5:$A$19,0)),"Unknown")</f>
        <v>South</v>
      </c>
      <c r="M84" t="e">
        <f ca="1">IF(OR(F84&lt;QStats!$B$8,F84&gt;QStats!$B$9),"Yes","No")</f>
        <v>#NAME?</v>
      </c>
    </row>
    <row r="85" spans="1:13" ht="14.4" x14ac:dyDescent="0.3">
      <c r="A85" t="s">
        <v>171</v>
      </c>
      <c r="B85" t="s">
        <v>39</v>
      </c>
      <c r="C85" t="s">
        <v>91</v>
      </c>
      <c r="D85" t="s">
        <v>41</v>
      </c>
      <c r="E85" s="6">
        <v>46261</v>
      </c>
      <c r="F85" s="7">
        <v>34</v>
      </c>
      <c r="G85" s="8">
        <v>4.7</v>
      </c>
      <c r="H85" s="9">
        <v>255.3</v>
      </c>
      <c r="I85" t="s">
        <v>86</v>
      </c>
      <c r="J85" t="str">
        <f ca="1">IFERROR(_xludf.xlookup(B85,Restaurants!$A$5:$A$19,Restaurants!$B$5:$B$19),"Unknown")</f>
        <v>Unknown</v>
      </c>
      <c r="K85" t="str">
        <f ca="1">IFERROR(_xludf.xlookup(B85,Restaurants!$A$5:$A$19,Restaurants!$D$5:$D$19),"Unknown")</f>
        <v>Unknown</v>
      </c>
      <c r="L85" t="str">
        <f>IFERROR(INDEX(Restaurants!$C$5:$C$19,MATCH(B85,Restaurants!$A$5:$A$19,0)),"Unknown")</f>
        <v>West</v>
      </c>
      <c r="M85" t="e">
        <f ca="1">IF(OR(F85&lt;QStats!$B$8,F85&gt;QStats!$B$9),"Yes","No")</f>
        <v>#NAME?</v>
      </c>
    </row>
    <row r="86" spans="1:13" ht="14.4" x14ac:dyDescent="0.3">
      <c r="A86" t="s">
        <v>172</v>
      </c>
      <c r="B86" t="s">
        <v>69</v>
      </c>
      <c r="C86" t="s">
        <v>91</v>
      </c>
      <c r="D86" t="s">
        <v>52</v>
      </c>
      <c r="E86" s="6">
        <v>46227</v>
      </c>
      <c r="F86" s="7">
        <v>25</v>
      </c>
      <c r="G86" s="8">
        <v>4.0999999999999996</v>
      </c>
      <c r="H86" s="9">
        <v>953.27</v>
      </c>
      <c r="I86" t="s">
        <v>86</v>
      </c>
      <c r="J86" t="str">
        <f ca="1">IFERROR(_xludf.xlookup(B86,Restaurants!$A$5:$A$19,Restaurants!$B$5:$B$19),"Unknown")</f>
        <v>Unknown</v>
      </c>
      <c r="K86" t="str">
        <f ca="1">IFERROR(_xludf.xlookup(B86,Restaurants!$A$5:$A$19,Restaurants!$D$5:$D$19),"Unknown")</f>
        <v>Unknown</v>
      </c>
      <c r="L86" t="str">
        <f>IFERROR(INDEX(Restaurants!$C$5:$C$19,MATCH(B86,Restaurants!$A$5:$A$19,0)),"Unknown")</f>
        <v>North</v>
      </c>
      <c r="M86" t="e">
        <f ca="1">IF(OR(F86&lt;QStats!$B$8,F86&gt;QStats!$B$9),"Yes","No")</f>
        <v>#NAME?</v>
      </c>
    </row>
    <row r="87" spans="1:13" ht="14.4" x14ac:dyDescent="0.3">
      <c r="A87" t="s">
        <v>173</v>
      </c>
      <c r="B87" t="s">
        <v>71</v>
      </c>
      <c r="C87" t="s">
        <v>91</v>
      </c>
      <c r="D87" t="s">
        <v>48</v>
      </c>
      <c r="E87" s="6">
        <v>46275</v>
      </c>
      <c r="F87" s="7">
        <v>89</v>
      </c>
      <c r="G87" s="8">
        <v>2.7</v>
      </c>
      <c r="H87" s="9">
        <v>1152.54</v>
      </c>
      <c r="I87" t="s">
        <v>106</v>
      </c>
      <c r="J87" t="str">
        <f ca="1">IFERROR(_xludf.xlookup(B87,Restaurants!$A$5:$A$19,Restaurants!$B$5:$B$19),"Unknown")</f>
        <v>Unknown</v>
      </c>
      <c r="K87" t="str">
        <f ca="1">IFERROR(_xludf.xlookup(B87,Restaurants!$A$5:$A$19,Restaurants!$D$5:$D$19),"Unknown")</f>
        <v>Unknown</v>
      </c>
      <c r="L87" t="str">
        <f>IFERROR(INDEX(Restaurants!$C$5:$C$19,MATCH(B87,Restaurants!$A$5:$A$19,0)),"Unknown")</f>
        <v>East</v>
      </c>
      <c r="M87" t="e">
        <f ca="1">IF(OR(F87&lt;QStats!$B$8,F87&gt;QStats!$B$9),"Yes","No")</f>
        <v>#NAME?</v>
      </c>
    </row>
    <row r="88" spans="1:13" ht="14.4" x14ac:dyDescent="0.3">
      <c r="A88" t="s">
        <v>174</v>
      </c>
      <c r="B88" t="s">
        <v>65</v>
      </c>
      <c r="C88" t="s">
        <v>89</v>
      </c>
      <c r="D88" t="s">
        <v>41</v>
      </c>
      <c r="E88" s="6">
        <v>46286</v>
      </c>
      <c r="F88" s="7">
        <v>58</v>
      </c>
      <c r="G88" s="8">
        <v>3</v>
      </c>
      <c r="H88" s="9">
        <v>1070.9000000000001</v>
      </c>
      <c r="I88" t="s">
        <v>106</v>
      </c>
      <c r="J88" t="str">
        <f ca="1">IFERROR(_xludf.xlookup(B88,Restaurants!$A$5:$A$19,Restaurants!$B$5:$B$19),"Unknown")</f>
        <v>Unknown</v>
      </c>
      <c r="K88" t="str">
        <f ca="1">IFERROR(_xludf.xlookup(B88,Restaurants!$A$5:$A$19,Restaurants!$D$5:$D$19),"Unknown")</f>
        <v>Unknown</v>
      </c>
      <c r="L88" t="str">
        <f>IFERROR(INDEX(Restaurants!$C$5:$C$19,MATCH(B88,Restaurants!$A$5:$A$19,0)),"Unknown")</f>
        <v>West</v>
      </c>
      <c r="M88" t="e">
        <f ca="1">IF(OR(F88&lt;QStats!$B$8,F88&gt;QStats!$B$9),"Yes","No")</f>
        <v>#NAME?</v>
      </c>
    </row>
    <row r="89" spans="1:13" ht="14.4" x14ac:dyDescent="0.3">
      <c r="A89" t="s">
        <v>175</v>
      </c>
      <c r="B89" t="s">
        <v>50</v>
      </c>
      <c r="C89" t="s">
        <v>91</v>
      </c>
      <c r="D89" t="s">
        <v>52</v>
      </c>
      <c r="E89" s="6">
        <v>46264</v>
      </c>
      <c r="F89" s="7">
        <v>25</v>
      </c>
      <c r="G89" s="8">
        <v>3.9</v>
      </c>
      <c r="H89" s="9">
        <v>652.73</v>
      </c>
      <c r="I89" t="s">
        <v>86</v>
      </c>
      <c r="J89" t="str">
        <f ca="1">IFERROR(_xludf.xlookup(B89,Restaurants!$A$5:$A$19,Restaurants!$B$5:$B$19),"Unknown")</f>
        <v>Unknown</v>
      </c>
      <c r="K89" t="str">
        <f ca="1">IFERROR(_xludf.xlookup(B89,Restaurants!$A$5:$A$19,Restaurants!$D$5:$D$19),"Unknown")</f>
        <v>Unknown</v>
      </c>
      <c r="L89" t="str">
        <f>IFERROR(INDEX(Restaurants!$C$5:$C$19,MATCH(B89,Restaurants!$A$5:$A$19,0)),"Unknown")</f>
        <v>North</v>
      </c>
      <c r="M89" t="e">
        <f ca="1">IF(OR(F89&lt;QStats!$B$8,F89&gt;QStats!$B$9),"Yes","No")</f>
        <v>#NAME?</v>
      </c>
    </row>
    <row r="90" spans="1:13" ht="14.4" x14ac:dyDescent="0.3">
      <c r="A90" t="s">
        <v>176</v>
      </c>
      <c r="B90" t="s">
        <v>57</v>
      </c>
      <c r="C90" t="s">
        <v>91</v>
      </c>
      <c r="D90" t="s">
        <v>48</v>
      </c>
      <c r="E90" s="6">
        <v>46243</v>
      </c>
      <c r="F90" s="7">
        <v>34</v>
      </c>
      <c r="G90" s="8">
        <v>4.4000000000000004</v>
      </c>
      <c r="H90" s="9">
        <v>879.11</v>
      </c>
      <c r="I90" t="s">
        <v>86</v>
      </c>
      <c r="J90" t="str">
        <f ca="1">IFERROR(_xludf.xlookup(B90,Restaurants!$A$5:$A$19,Restaurants!$B$5:$B$19),"Unknown")</f>
        <v>Unknown</v>
      </c>
      <c r="K90" t="str">
        <f ca="1">IFERROR(_xludf.xlookup(B90,Restaurants!$A$5:$A$19,Restaurants!$D$5:$D$19),"Unknown")</f>
        <v>Unknown</v>
      </c>
      <c r="L90" t="str">
        <f>IFERROR(INDEX(Restaurants!$C$5:$C$19,MATCH(B90,Restaurants!$A$5:$A$19,0)),"Unknown")</f>
        <v>East</v>
      </c>
      <c r="M90" t="e">
        <f ca="1">IF(OR(F90&lt;QStats!$B$8,F90&gt;QStats!$B$9),"Yes","No")</f>
        <v>#NAME?</v>
      </c>
    </row>
    <row r="91" spans="1:13" ht="14.4" x14ac:dyDescent="0.3">
      <c r="A91" t="s">
        <v>177</v>
      </c>
      <c r="B91" t="s">
        <v>67</v>
      </c>
      <c r="C91" t="s">
        <v>97</v>
      </c>
      <c r="D91" t="s">
        <v>45</v>
      </c>
      <c r="E91" s="6">
        <v>46228</v>
      </c>
      <c r="F91" s="7">
        <v>36</v>
      </c>
      <c r="G91" s="8">
        <v>4.7</v>
      </c>
      <c r="H91" s="9">
        <v>865.3</v>
      </c>
      <c r="I91" t="s">
        <v>86</v>
      </c>
      <c r="J91" t="str">
        <f ca="1">IFERROR(_xludf.xlookup(B91,Restaurants!$A$5:$A$19,Restaurants!$B$5:$B$19),"Unknown")</f>
        <v>Unknown</v>
      </c>
      <c r="K91" t="str">
        <f ca="1">IFERROR(_xludf.xlookup(B91,Restaurants!$A$5:$A$19,Restaurants!$D$5:$D$19),"Unknown")</f>
        <v>Unknown</v>
      </c>
      <c r="L91" t="str">
        <f>IFERROR(INDEX(Restaurants!$C$5:$C$19,MATCH(B91,Restaurants!$A$5:$A$19,0)),"Unknown")</f>
        <v>South</v>
      </c>
      <c r="M91" t="e">
        <f ca="1">IF(OR(F91&lt;QStats!$B$8,F91&gt;QStats!$B$9),"Yes","No")</f>
        <v>#NAME?</v>
      </c>
    </row>
    <row r="92" spans="1:13" ht="14.4" x14ac:dyDescent="0.3">
      <c r="A92" t="s">
        <v>178</v>
      </c>
      <c r="B92" t="s">
        <v>50</v>
      </c>
      <c r="C92" t="s">
        <v>85</v>
      </c>
      <c r="D92" t="s">
        <v>52</v>
      </c>
      <c r="E92" s="6">
        <v>46228</v>
      </c>
      <c r="F92" s="7">
        <v>31</v>
      </c>
      <c r="G92" s="8">
        <v>4.5999999999999996</v>
      </c>
      <c r="H92" s="9">
        <v>375.7</v>
      </c>
      <c r="I92" t="s">
        <v>86</v>
      </c>
      <c r="J92" t="str">
        <f ca="1">IFERROR(_xludf.xlookup(B92,Restaurants!$A$5:$A$19,Restaurants!$B$5:$B$19),"Unknown")</f>
        <v>Unknown</v>
      </c>
      <c r="K92" t="str">
        <f ca="1">IFERROR(_xludf.xlookup(B92,Restaurants!$A$5:$A$19,Restaurants!$D$5:$D$19),"Unknown")</f>
        <v>Unknown</v>
      </c>
      <c r="L92" t="str">
        <f>IFERROR(INDEX(Restaurants!$C$5:$C$19,MATCH(B92,Restaurants!$A$5:$A$19,0)),"Unknown")</f>
        <v>North</v>
      </c>
      <c r="M92" t="e">
        <f ca="1">IF(OR(F92&lt;QStats!$B$8,F92&gt;QStats!$B$9),"Yes","No")</f>
        <v>#NAME?</v>
      </c>
    </row>
    <row r="93" spans="1:13" ht="14.4" x14ac:dyDescent="0.3">
      <c r="A93" t="s">
        <v>179</v>
      </c>
      <c r="B93" t="s">
        <v>35</v>
      </c>
      <c r="C93" t="s">
        <v>85</v>
      </c>
      <c r="D93" t="s">
        <v>37</v>
      </c>
      <c r="E93" s="6">
        <v>46274</v>
      </c>
      <c r="F93" s="7">
        <v>28</v>
      </c>
      <c r="G93" s="8">
        <v>5</v>
      </c>
      <c r="H93" s="9">
        <v>346.18</v>
      </c>
      <c r="I93" t="s">
        <v>86</v>
      </c>
      <c r="J93" t="str">
        <f ca="1">IFERROR(_xludf.xlookup(B93,Restaurants!$A$5:$A$19,Restaurants!$B$5:$B$19),"Unknown")</f>
        <v>Unknown</v>
      </c>
      <c r="K93" t="str">
        <f ca="1">IFERROR(_xludf.xlookup(B93,Restaurants!$A$5:$A$19,Restaurants!$D$5:$D$19),"Unknown")</f>
        <v>Unknown</v>
      </c>
      <c r="L93" t="str">
        <f>IFERROR(INDEX(Restaurants!$C$5:$C$19,MATCH(B93,Restaurants!$A$5:$A$19,0)),"Unknown")</f>
        <v>Central</v>
      </c>
      <c r="M93" t="e">
        <f ca="1">IF(OR(F93&lt;QStats!$B$8,F93&gt;QStats!$B$9),"Yes","No")</f>
        <v>#NAME?</v>
      </c>
    </row>
    <row r="94" spans="1:13" ht="14.4" x14ac:dyDescent="0.3">
      <c r="A94" t="s">
        <v>180</v>
      </c>
      <c r="B94" t="s">
        <v>35</v>
      </c>
      <c r="C94" t="s">
        <v>91</v>
      </c>
      <c r="D94" t="s">
        <v>37</v>
      </c>
      <c r="E94" s="6">
        <v>46264</v>
      </c>
      <c r="F94" s="7">
        <v>25</v>
      </c>
      <c r="G94" s="8">
        <v>4.2</v>
      </c>
      <c r="H94" s="9">
        <v>1279.92</v>
      </c>
      <c r="I94" t="s">
        <v>86</v>
      </c>
      <c r="J94" t="str">
        <f ca="1">IFERROR(_xludf.xlookup(B94,Restaurants!$A$5:$A$19,Restaurants!$B$5:$B$19),"Unknown")</f>
        <v>Unknown</v>
      </c>
      <c r="K94" t="str">
        <f ca="1">IFERROR(_xludf.xlookup(B94,Restaurants!$A$5:$A$19,Restaurants!$D$5:$D$19),"Unknown")</f>
        <v>Unknown</v>
      </c>
      <c r="L94" t="str">
        <f>IFERROR(INDEX(Restaurants!$C$5:$C$19,MATCH(B94,Restaurants!$A$5:$A$19,0)),"Unknown")</f>
        <v>Central</v>
      </c>
      <c r="M94" t="e">
        <f ca="1">IF(OR(F94&lt;QStats!$B$8,F94&gt;QStats!$B$9),"Yes","No")</f>
        <v>#NAME?</v>
      </c>
    </row>
    <row r="95" spans="1:13" ht="14.4" x14ac:dyDescent="0.3">
      <c r="A95" t="s">
        <v>181</v>
      </c>
      <c r="B95" t="s">
        <v>39</v>
      </c>
      <c r="C95" t="s">
        <v>85</v>
      </c>
      <c r="D95" t="s">
        <v>41</v>
      </c>
      <c r="E95" s="6">
        <v>46255</v>
      </c>
      <c r="F95" s="7">
        <v>21</v>
      </c>
      <c r="G95" s="8">
        <v>4.0999999999999996</v>
      </c>
      <c r="H95" s="9">
        <v>1217.7</v>
      </c>
      <c r="I95" t="s">
        <v>86</v>
      </c>
      <c r="J95" t="str">
        <f ca="1">IFERROR(_xludf.xlookup(B95,Restaurants!$A$5:$A$19,Restaurants!$B$5:$B$19),"Unknown")</f>
        <v>Unknown</v>
      </c>
      <c r="K95" t="str">
        <f ca="1">IFERROR(_xludf.xlookup(B95,Restaurants!$A$5:$A$19,Restaurants!$D$5:$D$19),"Unknown")</f>
        <v>Unknown</v>
      </c>
      <c r="L95" t="str">
        <f>IFERROR(INDEX(Restaurants!$C$5:$C$19,MATCH(B95,Restaurants!$A$5:$A$19,0)),"Unknown")</f>
        <v>West</v>
      </c>
      <c r="M95" t="e">
        <f ca="1">IF(OR(F95&lt;QStats!$B$8,F95&gt;QStats!$B$9),"Yes","No")</f>
        <v>#NAME?</v>
      </c>
    </row>
    <row r="96" spans="1:13" ht="14.4" x14ac:dyDescent="0.3">
      <c r="A96" t="s">
        <v>182</v>
      </c>
      <c r="B96" t="s">
        <v>50</v>
      </c>
      <c r="C96" t="s">
        <v>85</v>
      </c>
      <c r="D96" t="s">
        <v>52</v>
      </c>
      <c r="E96" s="6">
        <v>46235</v>
      </c>
      <c r="F96" s="7">
        <v>47</v>
      </c>
      <c r="G96" s="8">
        <v>4.5</v>
      </c>
      <c r="H96" s="9">
        <v>497.6</v>
      </c>
      <c r="I96" t="s">
        <v>86</v>
      </c>
      <c r="J96" t="str">
        <f ca="1">IFERROR(_xludf.xlookup(B96,Restaurants!$A$5:$A$19,Restaurants!$B$5:$B$19),"Unknown")</f>
        <v>Unknown</v>
      </c>
      <c r="K96" t="str">
        <f ca="1">IFERROR(_xludf.xlookup(B96,Restaurants!$A$5:$A$19,Restaurants!$D$5:$D$19),"Unknown")</f>
        <v>Unknown</v>
      </c>
      <c r="L96" t="str">
        <f>IFERROR(INDEX(Restaurants!$C$5:$C$19,MATCH(B96,Restaurants!$A$5:$A$19,0)),"Unknown")</f>
        <v>North</v>
      </c>
      <c r="M96" t="e">
        <f ca="1">IF(OR(F96&lt;QStats!$B$8,F96&gt;QStats!$B$9),"Yes","No")</f>
        <v>#NAME?</v>
      </c>
    </row>
    <row r="97" spans="1:13" ht="14.4" x14ac:dyDescent="0.3">
      <c r="A97" t="s">
        <v>183</v>
      </c>
      <c r="B97" t="s">
        <v>59</v>
      </c>
      <c r="C97" t="s">
        <v>89</v>
      </c>
      <c r="D97" t="s">
        <v>52</v>
      </c>
      <c r="E97" s="6">
        <v>46261</v>
      </c>
      <c r="F97" s="7">
        <v>41</v>
      </c>
      <c r="G97" s="8">
        <v>3.8</v>
      </c>
      <c r="H97" s="9">
        <v>919.41</v>
      </c>
      <c r="I97" t="s">
        <v>86</v>
      </c>
      <c r="J97" t="str">
        <f ca="1">IFERROR(_xludf.xlookup(B97,Restaurants!$A$5:$A$19,Restaurants!$B$5:$B$19),"Unknown")</f>
        <v>Unknown</v>
      </c>
      <c r="K97" t="str">
        <f ca="1">IFERROR(_xludf.xlookup(B97,Restaurants!$A$5:$A$19,Restaurants!$D$5:$D$19),"Unknown")</f>
        <v>Unknown</v>
      </c>
      <c r="L97" t="str">
        <f>IFERROR(INDEX(Restaurants!$C$5:$C$19,MATCH(B97,Restaurants!$A$5:$A$19,0)),"Unknown")</f>
        <v>North</v>
      </c>
      <c r="M97" t="e">
        <f ca="1">IF(OR(F97&lt;QStats!$B$8,F97&gt;QStats!$B$9),"Yes","No")</f>
        <v>#NAME?</v>
      </c>
    </row>
    <row r="98" spans="1:13" ht="14.4" x14ac:dyDescent="0.3">
      <c r="A98" t="s">
        <v>184</v>
      </c>
      <c r="B98" t="s">
        <v>35</v>
      </c>
      <c r="C98" t="s">
        <v>85</v>
      </c>
      <c r="D98" t="s">
        <v>37</v>
      </c>
      <c r="E98" s="6">
        <v>46230</v>
      </c>
      <c r="F98" s="7">
        <v>53</v>
      </c>
      <c r="G98" s="8">
        <v>3.4</v>
      </c>
      <c r="H98" s="9">
        <v>312.33</v>
      </c>
      <c r="I98" t="s">
        <v>106</v>
      </c>
      <c r="J98" t="str">
        <f ca="1">IFERROR(_xludf.xlookup(B98,Restaurants!$A$5:$A$19,Restaurants!$B$5:$B$19),"Unknown")</f>
        <v>Unknown</v>
      </c>
      <c r="K98" t="str">
        <f ca="1">IFERROR(_xludf.xlookup(B98,Restaurants!$A$5:$A$19,Restaurants!$D$5:$D$19),"Unknown")</f>
        <v>Unknown</v>
      </c>
      <c r="L98" t="str">
        <f>IFERROR(INDEX(Restaurants!$C$5:$C$19,MATCH(B98,Restaurants!$A$5:$A$19,0)),"Unknown")</f>
        <v>Central</v>
      </c>
      <c r="M98" t="e">
        <f ca="1">IF(OR(F98&lt;QStats!$B$8,F98&gt;QStats!$B$9),"Yes","No")</f>
        <v>#NAME?</v>
      </c>
    </row>
    <row r="99" spans="1:13" ht="14.4" x14ac:dyDescent="0.3">
      <c r="A99" t="s">
        <v>185</v>
      </c>
      <c r="B99" t="s">
        <v>35</v>
      </c>
      <c r="C99" t="s">
        <v>89</v>
      </c>
      <c r="D99" t="s">
        <v>37</v>
      </c>
      <c r="E99" s="6">
        <v>46261</v>
      </c>
      <c r="F99" s="7">
        <v>57</v>
      </c>
      <c r="G99" s="8">
        <v>3</v>
      </c>
      <c r="H99" s="9">
        <v>1084.67</v>
      </c>
      <c r="I99" t="s">
        <v>106</v>
      </c>
      <c r="J99" t="str">
        <f ca="1">IFERROR(_xludf.xlookup(B99,Restaurants!$A$5:$A$19,Restaurants!$B$5:$B$19),"Unknown")</f>
        <v>Unknown</v>
      </c>
      <c r="K99" t="str">
        <f ca="1">IFERROR(_xludf.xlookup(B99,Restaurants!$A$5:$A$19,Restaurants!$D$5:$D$19),"Unknown")</f>
        <v>Unknown</v>
      </c>
      <c r="L99" t="str">
        <f>IFERROR(INDEX(Restaurants!$C$5:$C$19,MATCH(B99,Restaurants!$A$5:$A$19,0)),"Unknown")</f>
        <v>Central</v>
      </c>
      <c r="M99" t="e">
        <f ca="1">IF(OR(F99&lt;QStats!$B$8,F99&gt;QStats!$B$9),"Yes","No")</f>
        <v>#NAME?</v>
      </c>
    </row>
    <row r="100" spans="1:13" ht="14.4" x14ac:dyDescent="0.3">
      <c r="A100" t="s">
        <v>186</v>
      </c>
      <c r="B100" t="s">
        <v>57</v>
      </c>
      <c r="C100" t="s">
        <v>85</v>
      </c>
      <c r="D100" t="s">
        <v>48</v>
      </c>
      <c r="E100" s="6">
        <v>46291</v>
      </c>
      <c r="F100" s="7">
        <v>35</v>
      </c>
      <c r="G100" s="8">
        <v>4.5</v>
      </c>
      <c r="H100" s="9">
        <v>1208.8</v>
      </c>
      <c r="I100" t="s">
        <v>86</v>
      </c>
      <c r="J100" t="str">
        <f ca="1">IFERROR(_xludf.xlookup(B100,Restaurants!$A$5:$A$19,Restaurants!$B$5:$B$19),"Unknown")</f>
        <v>Unknown</v>
      </c>
      <c r="K100" t="str">
        <f ca="1">IFERROR(_xludf.xlookup(B100,Restaurants!$A$5:$A$19,Restaurants!$D$5:$D$19),"Unknown")</f>
        <v>Unknown</v>
      </c>
      <c r="L100" t="str">
        <f>IFERROR(INDEX(Restaurants!$C$5:$C$19,MATCH(B100,Restaurants!$A$5:$A$19,0)),"Unknown")</f>
        <v>East</v>
      </c>
      <c r="M100" t="e">
        <f ca="1">IF(OR(F100&lt;QStats!$B$8,F100&gt;QStats!$B$9),"Yes","No")</f>
        <v>#NAME?</v>
      </c>
    </row>
    <row r="101" spans="1:13" ht="14.4" x14ac:dyDescent="0.3">
      <c r="A101" t="s">
        <v>187</v>
      </c>
      <c r="B101" t="s">
        <v>46</v>
      </c>
      <c r="C101" t="s">
        <v>89</v>
      </c>
      <c r="D101" t="s">
        <v>48</v>
      </c>
      <c r="E101" s="6">
        <v>46218</v>
      </c>
      <c r="F101" s="7">
        <v>20</v>
      </c>
      <c r="G101" s="8">
        <v>3.9</v>
      </c>
      <c r="H101" s="9">
        <v>307.83</v>
      </c>
      <c r="I101" t="s">
        <v>86</v>
      </c>
      <c r="J101" t="str">
        <f ca="1">IFERROR(_xludf.xlookup(B101,Restaurants!$A$5:$A$19,Restaurants!$B$5:$B$19),"Unknown")</f>
        <v>Unknown</v>
      </c>
      <c r="K101" t="str">
        <f ca="1">IFERROR(_xludf.xlookup(B101,Restaurants!$A$5:$A$19,Restaurants!$D$5:$D$19),"Unknown")</f>
        <v>Unknown</v>
      </c>
      <c r="L101" t="str">
        <f>IFERROR(INDEX(Restaurants!$C$5:$C$19,MATCH(B101,Restaurants!$A$5:$A$19,0)),"Unknown")</f>
        <v>East</v>
      </c>
      <c r="M101" t="e">
        <f ca="1">IF(OR(F101&lt;QStats!$B$8,F101&gt;QStats!$B$9),"Yes","No")</f>
        <v>#NAME?</v>
      </c>
    </row>
    <row r="102" spans="1:13" ht="14.4" x14ac:dyDescent="0.3">
      <c r="A102" t="s">
        <v>188</v>
      </c>
      <c r="B102" t="s">
        <v>43</v>
      </c>
      <c r="C102" t="s">
        <v>91</v>
      </c>
      <c r="D102" t="s">
        <v>45</v>
      </c>
      <c r="E102" s="6">
        <v>46280</v>
      </c>
      <c r="F102" s="7">
        <v>34</v>
      </c>
      <c r="G102" s="8">
        <v>3.4</v>
      </c>
      <c r="H102" s="9">
        <v>1067.07</v>
      </c>
      <c r="I102" t="s">
        <v>86</v>
      </c>
      <c r="J102" t="str">
        <f ca="1">IFERROR(_xludf.xlookup(B102,Restaurants!$A$5:$A$19,Restaurants!$B$5:$B$19),"Unknown")</f>
        <v>Unknown</v>
      </c>
      <c r="K102" t="str">
        <f ca="1">IFERROR(_xludf.xlookup(B102,Restaurants!$A$5:$A$19,Restaurants!$D$5:$D$19),"Unknown")</f>
        <v>Unknown</v>
      </c>
      <c r="L102" t="str">
        <f>IFERROR(INDEX(Restaurants!$C$5:$C$19,MATCH(B102,Restaurants!$A$5:$A$19,0)),"Unknown")</f>
        <v>South</v>
      </c>
      <c r="M102" t="e">
        <f ca="1">IF(OR(F102&lt;QStats!$B$8,F102&gt;QStats!$B$9),"Yes","No")</f>
        <v>#NAME?</v>
      </c>
    </row>
    <row r="103" spans="1:13" ht="14.4" x14ac:dyDescent="0.3">
      <c r="A103" t="s">
        <v>189</v>
      </c>
      <c r="B103" t="s">
        <v>65</v>
      </c>
      <c r="C103" t="s">
        <v>89</v>
      </c>
      <c r="D103" t="s">
        <v>41</v>
      </c>
      <c r="E103" s="6">
        <v>46238</v>
      </c>
      <c r="F103" s="7">
        <v>41</v>
      </c>
      <c r="G103" s="8">
        <v>4.0999999999999996</v>
      </c>
      <c r="H103" s="9">
        <v>1123.48</v>
      </c>
      <c r="I103" t="s">
        <v>86</v>
      </c>
      <c r="J103" t="str">
        <f ca="1">IFERROR(_xludf.xlookup(B103,Restaurants!$A$5:$A$19,Restaurants!$B$5:$B$19),"Unknown")</f>
        <v>Unknown</v>
      </c>
      <c r="K103" t="str">
        <f ca="1">IFERROR(_xludf.xlookup(B103,Restaurants!$A$5:$A$19,Restaurants!$D$5:$D$19),"Unknown")</f>
        <v>Unknown</v>
      </c>
      <c r="L103" t="str">
        <f>IFERROR(INDEX(Restaurants!$C$5:$C$19,MATCH(B103,Restaurants!$A$5:$A$19,0)),"Unknown")</f>
        <v>West</v>
      </c>
      <c r="M103" t="e">
        <f ca="1">IF(OR(F103&lt;QStats!$B$8,F103&gt;QStats!$B$9),"Yes","No")</f>
        <v>#NAME?</v>
      </c>
    </row>
    <row r="104" spans="1:13" ht="14.4" x14ac:dyDescent="0.3">
      <c r="A104" t="s">
        <v>190</v>
      </c>
      <c r="B104" t="s">
        <v>61</v>
      </c>
      <c r="C104" t="s">
        <v>91</v>
      </c>
      <c r="D104" t="s">
        <v>45</v>
      </c>
      <c r="E104" s="6">
        <v>46207</v>
      </c>
      <c r="F104" s="7">
        <v>55</v>
      </c>
      <c r="G104" s="8">
        <v>4.4000000000000004</v>
      </c>
      <c r="H104" s="9">
        <v>1389.47</v>
      </c>
      <c r="I104" t="s">
        <v>106</v>
      </c>
      <c r="J104" t="str">
        <f ca="1">IFERROR(_xludf.xlookup(B104,Restaurants!$A$5:$A$19,Restaurants!$B$5:$B$19),"Unknown")</f>
        <v>Unknown</v>
      </c>
      <c r="K104" t="str">
        <f ca="1">IFERROR(_xludf.xlookup(B104,Restaurants!$A$5:$A$19,Restaurants!$D$5:$D$19),"Unknown")</f>
        <v>Unknown</v>
      </c>
      <c r="L104" t="str">
        <f>IFERROR(INDEX(Restaurants!$C$5:$C$19,MATCH(B104,Restaurants!$A$5:$A$19,0)),"Unknown")</f>
        <v>South</v>
      </c>
      <c r="M104" t="e">
        <f ca="1">IF(OR(F104&lt;QStats!$B$8,F104&gt;QStats!$B$9),"Yes","No")</f>
        <v>#NAME?</v>
      </c>
    </row>
    <row r="105" spans="1:13" ht="14.4" x14ac:dyDescent="0.3">
      <c r="A105" t="s">
        <v>191</v>
      </c>
      <c r="B105" t="s">
        <v>67</v>
      </c>
      <c r="C105" t="s">
        <v>91</v>
      </c>
      <c r="D105" t="s">
        <v>45</v>
      </c>
      <c r="E105" s="6">
        <v>46277</v>
      </c>
      <c r="F105" s="7">
        <v>50</v>
      </c>
      <c r="G105" s="8">
        <v>4</v>
      </c>
      <c r="H105" s="9">
        <v>1346.77</v>
      </c>
      <c r="I105" t="s">
        <v>86</v>
      </c>
      <c r="J105" t="str">
        <f ca="1">IFERROR(_xludf.xlookup(B105,Restaurants!$A$5:$A$19,Restaurants!$B$5:$B$19),"Unknown")</f>
        <v>Unknown</v>
      </c>
      <c r="K105" t="str">
        <f ca="1">IFERROR(_xludf.xlookup(B105,Restaurants!$A$5:$A$19,Restaurants!$D$5:$D$19),"Unknown")</f>
        <v>Unknown</v>
      </c>
      <c r="L105" t="str">
        <f>IFERROR(INDEX(Restaurants!$C$5:$C$19,MATCH(B105,Restaurants!$A$5:$A$19,0)),"Unknown")</f>
        <v>South</v>
      </c>
      <c r="M105" t="e">
        <f ca="1">IF(OR(F105&lt;QStats!$B$8,F105&gt;QStats!$B$9),"Yes","No")</f>
        <v>#NAME?</v>
      </c>
    </row>
    <row r="106" spans="1:13" ht="14.4" x14ac:dyDescent="0.3">
      <c r="A106" t="s">
        <v>192</v>
      </c>
      <c r="B106" t="s">
        <v>43</v>
      </c>
      <c r="C106" t="s">
        <v>89</v>
      </c>
      <c r="D106" t="s">
        <v>45</v>
      </c>
      <c r="E106" s="6">
        <v>46285</v>
      </c>
      <c r="F106" s="7">
        <v>44</v>
      </c>
      <c r="G106" s="8">
        <v>2.6</v>
      </c>
      <c r="H106" s="9">
        <v>614.9</v>
      </c>
      <c r="I106" t="s">
        <v>86</v>
      </c>
      <c r="J106" t="str">
        <f ca="1">IFERROR(_xludf.xlookup(B106,Restaurants!$A$5:$A$19,Restaurants!$B$5:$B$19),"Unknown")</f>
        <v>Unknown</v>
      </c>
      <c r="K106" t="str">
        <f ca="1">IFERROR(_xludf.xlookup(B106,Restaurants!$A$5:$A$19,Restaurants!$D$5:$D$19),"Unknown")</f>
        <v>Unknown</v>
      </c>
      <c r="L106" t="str">
        <f>IFERROR(INDEX(Restaurants!$C$5:$C$19,MATCH(B106,Restaurants!$A$5:$A$19,0)),"Unknown")</f>
        <v>South</v>
      </c>
      <c r="M106" t="e">
        <f ca="1">IF(OR(F106&lt;QStats!$B$8,F106&gt;QStats!$B$9),"Yes","No")</f>
        <v>#NAME?</v>
      </c>
    </row>
    <row r="107" spans="1:13" ht="14.4" x14ac:dyDescent="0.3">
      <c r="A107" t="s">
        <v>193</v>
      </c>
      <c r="B107" t="s">
        <v>39</v>
      </c>
      <c r="C107" t="s">
        <v>97</v>
      </c>
      <c r="D107" t="s">
        <v>41</v>
      </c>
      <c r="E107" s="6">
        <v>46246</v>
      </c>
      <c r="F107" s="7">
        <v>24</v>
      </c>
      <c r="G107" s="8">
        <v>4.4000000000000004</v>
      </c>
      <c r="H107" s="9">
        <v>1155.4100000000001</v>
      </c>
      <c r="I107" t="s">
        <v>86</v>
      </c>
      <c r="J107" t="str">
        <f ca="1">IFERROR(_xludf.xlookup(B107,Restaurants!$A$5:$A$19,Restaurants!$B$5:$B$19),"Unknown")</f>
        <v>Unknown</v>
      </c>
      <c r="K107" t="str">
        <f ca="1">IFERROR(_xludf.xlookup(B107,Restaurants!$A$5:$A$19,Restaurants!$D$5:$D$19),"Unknown")</f>
        <v>Unknown</v>
      </c>
      <c r="L107" t="str">
        <f>IFERROR(INDEX(Restaurants!$C$5:$C$19,MATCH(B107,Restaurants!$A$5:$A$19,0)),"Unknown")</f>
        <v>West</v>
      </c>
      <c r="M107" t="e">
        <f ca="1">IF(OR(F107&lt;QStats!$B$8,F107&gt;QStats!$B$9),"Yes","No")</f>
        <v>#NAME?</v>
      </c>
    </row>
    <row r="108" spans="1:13" ht="14.4" x14ac:dyDescent="0.3">
      <c r="A108" t="s">
        <v>194</v>
      </c>
      <c r="B108" t="s">
        <v>35</v>
      </c>
      <c r="C108" t="s">
        <v>89</v>
      </c>
      <c r="D108" t="s">
        <v>37</v>
      </c>
      <c r="E108" s="6">
        <v>46215</v>
      </c>
      <c r="F108" s="7">
        <v>31</v>
      </c>
      <c r="G108" s="8">
        <v>4.5</v>
      </c>
      <c r="H108" s="9">
        <v>852.95</v>
      </c>
      <c r="I108" t="s">
        <v>86</v>
      </c>
      <c r="J108" t="str">
        <f ca="1">IFERROR(_xludf.xlookup(B108,Restaurants!$A$5:$A$19,Restaurants!$B$5:$B$19),"Unknown")</f>
        <v>Unknown</v>
      </c>
      <c r="K108" t="str">
        <f ca="1">IFERROR(_xludf.xlookup(B108,Restaurants!$A$5:$A$19,Restaurants!$D$5:$D$19),"Unknown")</f>
        <v>Unknown</v>
      </c>
      <c r="L108" t="str">
        <f>IFERROR(INDEX(Restaurants!$C$5:$C$19,MATCH(B108,Restaurants!$A$5:$A$19,0)),"Unknown")</f>
        <v>Central</v>
      </c>
      <c r="M108" t="e">
        <f ca="1">IF(OR(F108&lt;QStats!$B$8,F108&gt;QStats!$B$9),"Yes","No")</f>
        <v>#NAME?</v>
      </c>
    </row>
    <row r="109" spans="1:13" ht="14.4" x14ac:dyDescent="0.3">
      <c r="A109" t="s">
        <v>195</v>
      </c>
      <c r="B109" t="s">
        <v>35</v>
      </c>
      <c r="C109" t="s">
        <v>89</v>
      </c>
      <c r="D109" t="s">
        <v>37</v>
      </c>
      <c r="E109" s="6">
        <v>46256</v>
      </c>
      <c r="F109" s="7">
        <v>45</v>
      </c>
      <c r="G109" s="8">
        <v>4.2</v>
      </c>
      <c r="H109" s="9">
        <v>763.71</v>
      </c>
      <c r="I109" t="s">
        <v>86</v>
      </c>
      <c r="J109" t="str">
        <f ca="1">IFERROR(_xludf.xlookup(B109,Restaurants!$A$5:$A$19,Restaurants!$B$5:$B$19),"Unknown")</f>
        <v>Unknown</v>
      </c>
      <c r="K109" t="str">
        <f ca="1">IFERROR(_xludf.xlookup(B109,Restaurants!$A$5:$A$19,Restaurants!$D$5:$D$19),"Unknown")</f>
        <v>Unknown</v>
      </c>
      <c r="L109" t="str">
        <f>IFERROR(INDEX(Restaurants!$C$5:$C$19,MATCH(B109,Restaurants!$A$5:$A$19,0)),"Unknown")</f>
        <v>Central</v>
      </c>
      <c r="M109" t="e">
        <f ca="1">IF(OR(F109&lt;QStats!$B$8,F109&gt;QStats!$B$9),"Yes","No")</f>
        <v>#NAME?</v>
      </c>
    </row>
    <row r="110" spans="1:13" ht="14.4" x14ac:dyDescent="0.3">
      <c r="A110" t="s">
        <v>196</v>
      </c>
      <c r="B110" t="s">
        <v>35</v>
      </c>
      <c r="C110" t="s">
        <v>97</v>
      </c>
      <c r="D110" t="s">
        <v>37</v>
      </c>
      <c r="E110" s="6">
        <v>46238</v>
      </c>
      <c r="F110" s="7">
        <v>12</v>
      </c>
      <c r="G110" s="8">
        <v>3.7</v>
      </c>
      <c r="H110" s="9">
        <v>369.35</v>
      </c>
      <c r="I110" t="s">
        <v>86</v>
      </c>
      <c r="J110" t="str">
        <f ca="1">IFERROR(_xludf.xlookup(B110,Restaurants!$A$5:$A$19,Restaurants!$B$5:$B$19),"Unknown")</f>
        <v>Unknown</v>
      </c>
      <c r="K110" t="str">
        <f ca="1">IFERROR(_xludf.xlookup(B110,Restaurants!$A$5:$A$19,Restaurants!$D$5:$D$19),"Unknown")</f>
        <v>Unknown</v>
      </c>
      <c r="L110" t="str">
        <f>IFERROR(INDEX(Restaurants!$C$5:$C$19,MATCH(B110,Restaurants!$A$5:$A$19,0)),"Unknown")</f>
        <v>Central</v>
      </c>
      <c r="M110" t="e">
        <f ca="1">IF(OR(F110&lt;QStats!$B$8,F110&gt;QStats!$B$9),"Yes","No")</f>
        <v>#NAME?</v>
      </c>
    </row>
    <row r="111" spans="1:13" ht="14.4" x14ac:dyDescent="0.3">
      <c r="A111" t="s">
        <v>197</v>
      </c>
      <c r="B111" t="s">
        <v>63</v>
      </c>
      <c r="C111" t="s">
        <v>97</v>
      </c>
      <c r="D111" t="s">
        <v>37</v>
      </c>
      <c r="E111" s="6">
        <v>46294</v>
      </c>
      <c r="F111" s="7">
        <v>41</v>
      </c>
      <c r="G111" s="8">
        <v>4.7</v>
      </c>
      <c r="H111" s="9">
        <v>1440.48</v>
      </c>
      <c r="I111" t="s">
        <v>86</v>
      </c>
      <c r="J111" t="str">
        <f ca="1">IFERROR(_xludf.xlookup(B111,Restaurants!$A$5:$A$19,Restaurants!$B$5:$B$19),"Unknown")</f>
        <v>Unknown</v>
      </c>
      <c r="K111" t="str">
        <f ca="1">IFERROR(_xludf.xlookup(B111,Restaurants!$A$5:$A$19,Restaurants!$D$5:$D$19),"Unknown")</f>
        <v>Unknown</v>
      </c>
      <c r="L111" t="str">
        <f>IFERROR(INDEX(Restaurants!$C$5:$C$19,MATCH(B111,Restaurants!$A$5:$A$19,0)),"Unknown")</f>
        <v>Central</v>
      </c>
      <c r="M111" t="e">
        <f ca="1">IF(OR(F111&lt;QStats!$B$8,F111&gt;QStats!$B$9),"Yes","No")</f>
        <v>#NAME?</v>
      </c>
    </row>
    <row r="112" spans="1:13" ht="14.4" x14ac:dyDescent="0.3">
      <c r="A112" t="s">
        <v>198</v>
      </c>
      <c r="B112" t="s">
        <v>71</v>
      </c>
      <c r="C112" t="s">
        <v>85</v>
      </c>
      <c r="D112" t="s">
        <v>48</v>
      </c>
      <c r="E112" s="6">
        <v>46263</v>
      </c>
      <c r="F112" s="7">
        <v>48</v>
      </c>
      <c r="G112" s="8">
        <v>3.6</v>
      </c>
      <c r="H112" s="9">
        <v>578.99</v>
      </c>
      <c r="I112" t="s">
        <v>86</v>
      </c>
      <c r="J112" t="str">
        <f ca="1">IFERROR(_xludf.xlookup(B112,Restaurants!$A$5:$A$19,Restaurants!$B$5:$B$19),"Unknown")</f>
        <v>Unknown</v>
      </c>
      <c r="K112" t="str">
        <f ca="1">IFERROR(_xludf.xlookup(B112,Restaurants!$A$5:$A$19,Restaurants!$D$5:$D$19),"Unknown")</f>
        <v>Unknown</v>
      </c>
      <c r="L112" t="str">
        <f>IFERROR(INDEX(Restaurants!$C$5:$C$19,MATCH(B112,Restaurants!$A$5:$A$19,0)),"Unknown")</f>
        <v>East</v>
      </c>
      <c r="M112" t="e">
        <f ca="1">IF(OR(F112&lt;QStats!$B$8,F112&gt;QStats!$B$9),"Yes","No")</f>
        <v>#NAME?</v>
      </c>
    </row>
    <row r="113" spans="1:13" ht="14.4" x14ac:dyDescent="0.3">
      <c r="A113" t="s">
        <v>199</v>
      </c>
      <c r="B113" t="s">
        <v>65</v>
      </c>
      <c r="C113" t="s">
        <v>91</v>
      </c>
      <c r="D113" t="s">
        <v>41</v>
      </c>
      <c r="E113" s="6">
        <v>46257</v>
      </c>
      <c r="F113" s="7">
        <v>48</v>
      </c>
      <c r="G113" s="8">
        <v>2.5</v>
      </c>
      <c r="H113" s="9">
        <v>691.81</v>
      </c>
      <c r="I113" t="s">
        <v>86</v>
      </c>
      <c r="J113" t="str">
        <f ca="1">IFERROR(_xludf.xlookup(B113,Restaurants!$A$5:$A$19,Restaurants!$B$5:$B$19),"Unknown")</f>
        <v>Unknown</v>
      </c>
      <c r="K113" t="str">
        <f ca="1">IFERROR(_xludf.xlookup(B113,Restaurants!$A$5:$A$19,Restaurants!$D$5:$D$19),"Unknown")</f>
        <v>Unknown</v>
      </c>
      <c r="L113" t="str">
        <f>IFERROR(INDEX(Restaurants!$C$5:$C$19,MATCH(B113,Restaurants!$A$5:$A$19,0)),"Unknown")</f>
        <v>West</v>
      </c>
      <c r="M113" t="e">
        <f ca="1">IF(OR(F113&lt;QStats!$B$8,F113&gt;QStats!$B$9),"Yes","No")</f>
        <v>#NAME?</v>
      </c>
    </row>
    <row r="114" spans="1:13" ht="14.4" x14ac:dyDescent="0.3">
      <c r="A114" t="s">
        <v>200</v>
      </c>
      <c r="B114" t="s">
        <v>71</v>
      </c>
      <c r="C114" t="s">
        <v>97</v>
      </c>
      <c r="D114" t="s">
        <v>48</v>
      </c>
      <c r="E114" s="6">
        <v>46212</v>
      </c>
      <c r="F114" s="7">
        <v>31</v>
      </c>
      <c r="G114" s="8">
        <v>5</v>
      </c>
      <c r="H114" s="9">
        <v>844.52</v>
      </c>
      <c r="I114" t="s">
        <v>86</v>
      </c>
      <c r="J114" t="str">
        <f ca="1">IFERROR(_xludf.xlookup(B114,Restaurants!$A$5:$A$19,Restaurants!$B$5:$B$19),"Unknown")</f>
        <v>Unknown</v>
      </c>
      <c r="K114" t="str">
        <f ca="1">IFERROR(_xludf.xlookup(B114,Restaurants!$A$5:$A$19,Restaurants!$D$5:$D$19),"Unknown")</f>
        <v>Unknown</v>
      </c>
      <c r="L114" t="str">
        <f>IFERROR(INDEX(Restaurants!$C$5:$C$19,MATCH(B114,Restaurants!$A$5:$A$19,0)),"Unknown")</f>
        <v>East</v>
      </c>
      <c r="M114" t="e">
        <f ca="1">IF(OR(F114&lt;QStats!$B$8,F114&gt;QStats!$B$9),"Yes","No")</f>
        <v>#NAME?</v>
      </c>
    </row>
    <row r="115" spans="1:13" ht="14.4" x14ac:dyDescent="0.3">
      <c r="A115" t="s">
        <v>201</v>
      </c>
      <c r="B115" t="s">
        <v>69</v>
      </c>
      <c r="C115" t="s">
        <v>85</v>
      </c>
      <c r="D115" t="s">
        <v>52</v>
      </c>
      <c r="E115" s="6">
        <v>46240</v>
      </c>
      <c r="F115" s="7">
        <v>31</v>
      </c>
      <c r="G115" s="8">
        <v>3.1</v>
      </c>
      <c r="H115" s="9">
        <v>1284.27</v>
      </c>
      <c r="I115" t="s">
        <v>86</v>
      </c>
      <c r="J115" t="str">
        <f ca="1">IFERROR(_xludf.xlookup(B115,Restaurants!$A$5:$A$19,Restaurants!$B$5:$B$19),"Unknown")</f>
        <v>Unknown</v>
      </c>
      <c r="K115" t="str">
        <f ca="1">IFERROR(_xludf.xlookup(B115,Restaurants!$A$5:$A$19,Restaurants!$D$5:$D$19),"Unknown")</f>
        <v>Unknown</v>
      </c>
      <c r="L115" t="str">
        <f>IFERROR(INDEX(Restaurants!$C$5:$C$19,MATCH(B115,Restaurants!$A$5:$A$19,0)),"Unknown")</f>
        <v>North</v>
      </c>
      <c r="M115" t="e">
        <f ca="1">IF(OR(F115&lt;QStats!$B$8,F115&gt;QStats!$B$9),"Yes","No")</f>
        <v>#NAME?</v>
      </c>
    </row>
    <row r="116" spans="1:13" ht="14.4" x14ac:dyDescent="0.3">
      <c r="A116" t="s">
        <v>202</v>
      </c>
      <c r="B116" t="s">
        <v>57</v>
      </c>
      <c r="C116" t="s">
        <v>89</v>
      </c>
      <c r="D116" t="s">
        <v>48</v>
      </c>
      <c r="E116" s="6">
        <v>46248</v>
      </c>
      <c r="F116" s="7">
        <v>26</v>
      </c>
      <c r="G116" s="8">
        <v>4.9000000000000004</v>
      </c>
      <c r="H116" s="9">
        <v>1289.6099999999999</v>
      </c>
      <c r="I116" t="s">
        <v>86</v>
      </c>
      <c r="J116" t="str">
        <f ca="1">IFERROR(_xludf.xlookup(B116,Restaurants!$A$5:$A$19,Restaurants!$B$5:$B$19),"Unknown")</f>
        <v>Unknown</v>
      </c>
      <c r="K116" t="str">
        <f ca="1">IFERROR(_xludf.xlookup(B116,Restaurants!$A$5:$A$19,Restaurants!$D$5:$D$19),"Unknown")</f>
        <v>Unknown</v>
      </c>
      <c r="L116" t="str">
        <f>IFERROR(INDEX(Restaurants!$C$5:$C$19,MATCH(B116,Restaurants!$A$5:$A$19,0)),"Unknown")</f>
        <v>East</v>
      </c>
      <c r="M116" t="e">
        <f ca="1">IF(OR(F116&lt;QStats!$B$8,F116&gt;QStats!$B$9),"Yes","No")</f>
        <v>#NAME?</v>
      </c>
    </row>
    <row r="117" spans="1:13" ht="14.4" x14ac:dyDescent="0.3">
      <c r="A117" t="s">
        <v>203</v>
      </c>
      <c r="B117" t="s">
        <v>65</v>
      </c>
      <c r="C117" t="s">
        <v>97</v>
      </c>
      <c r="D117" t="s">
        <v>41</v>
      </c>
      <c r="E117" s="6">
        <v>46277</v>
      </c>
      <c r="F117" s="7">
        <v>19</v>
      </c>
      <c r="G117" s="8">
        <v>4.8</v>
      </c>
      <c r="H117" s="9">
        <v>801.76</v>
      </c>
      <c r="I117" t="s">
        <v>86</v>
      </c>
      <c r="J117" t="str">
        <f ca="1">IFERROR(_xludf.xlookup(B117,Restaurants!$A$5:$A$19,Restaurants!$B$5:$B$19),"Unknown")</f>
        <v>Unknown</v>
      </c>
      <c r="K117" t="str">
        <f ca="1">IFERROR(_xludf.xlookup(B117,Restaurants!$A$5:$A$19,Restaurants!$D$5:$D$19),"Unknown")</f>
        <v>Unknown</v>
      </c>
      <c r="L117" t="str">
        <f>IFERROR(INDEX(Restaurants!$C$5:$C$19,MATCH(B117,Restaurants!$A$5:$A$19,0)),"Unknown")</f>
        <v>West</v>
      </c>
      <c r="M117" t="e">
        <f ca="1">IF(OR(F117&lt;QStats!$B$8,F117&gt;QStats!$B$9),"Yes","No")</f>
        <v>#NAME?</v>
      </c>
    </row>
    <row r="118" spans="1:13" ht="14.4" x14ac:dyDescent="0.3">
      <c r="A118" t="s">
        <v>204</v>
      </c>
      <c r="B118" t="s">
        <v>71</v>
      </c>
      <c r="C118" t="s">
        <v>89</v>
      </c>
      <c r="D118" t="s">
        <v>48</v>
      </c>
      <c r="E118" s="6">
        <v>46253</v>
      </c>
      <c r="F118" s="7">
        <v>52</v>
      </c>
      <c r="G118" s="8">
        <v>3.7</v>
      </c>
      <c r="H118" s="9">
        <v>1406.73</v>
      </c>
      <c r="I118" t="s">
        <v>106</v>
      </c>
      <c r="J118" t="str">
        <f ca="1">IFERROR(_xludf.xlookup(B118,Restaurants!$A$5:$A$19,Restaurants!$B$5:$B$19),"Unknown")</f>
        <v>Unknown</v>
      </c>
      <c r="K118" t="str">
        <f ca="1">IFERROR(_xludf.xlookup(B118,Restaurants!$A$5:$A$19,Restaurants!$D$5:$D$19),"Unknown")</f>
        <v>Unknown</v>
      </c>
      <c r="L118" t="str">
        <f>IFERROR(INDEX(Restaurants!$C$5:$C$19,MATCH(B118,Restaurants!$A$5:$A$19,0)),"Unknown")</f>
        <v>East</v>
      </c>
      <c r="M118" t="e">
        <f ca="1">IF(OR(F118&lt;QStats!$B$8,F118&gt;QStats!$B$9),"Yes","No")</f>
        <v>#NAME?</v>
      </c>
    </row>
    <row r="119" spans="1:13" ht="14.4" x14ac:dyDescent="0.3">
      <c r="A119" t="s">
        <v>205</v>
      </c>
      <c r="B119" t="s">
        <v>43</v>
      </c>
      <c r="C119" t="s">
        <v>91</v>
      </c>
      <c r="D119" t="s">
        <v>45</v>
      </c>
      <c r="E119" s="6">
        <v>46216</v>
      </c>
      <c r="F119" s="7">
        <v>42</v>
      </c>
      <c r="G119" s="8">
        <v>3.6</v>
      </c>
      <c r="H119" s="9">
        <v>1108.6099999999999</v>
      </c>
      <c r="I119" t="s">
        <v>86</v>
      </c>
      <c r="J119" t="str">
        <f ca="1">IFERROR(_xludf.xlookup(B119,Restaurants!$A$5:$A$19,Restaurants!$B$5:$B$19),"Unknown")</f>
        <v>Unknown</v>
      </c>
      <c r="K119" t="str">
        <f ca="1">IFERROR(_xludf.xlookup(B119,Restaurants!$A$5:$A$19,Restaurants!$D$5:$D$19),"Unknown")</f>
        <v>Unknown</v>
      </c>
      <c r="L119" t="str">
        <f>IFERROR(INDEX(Restaurants!$C$5:$C$19,MATCH(B119,Restaurants!$A$5:$A$19,0)),"Unknown")</f>
        <v>South</v>
      </c>
      <c r="M119" t="e">
        <f ca="1">IF(OR(F119&lt;QStats!$B$8,F119&gt;QStats!$B$9),"Yes","No")</f>
        <v>#NAME?</v>
      </c>
    </row>
    <row r="120" spans="1:13" ht="14.4" x14ac:dyDescent="0.3">
      <c r="A120" t="s">
        <v>206</v>
      </c>
      <c r="B120" t="s">
        <v>55</v>
      </c>
      <c r="C120" t="s">
        <v>97</v>
      </c>
      <c r="D120" t="s">
        <v>37</v>
      </c>
      <c r="E120" s="6">
        <v>46213</v>
      </c>
      <c r="F120" s="7">
        <v>12</v>
      </c>
      <c r="G120" s="8">
        <v>4.4000000000000004</v>
      </c>
      <c r="H120" s="9">
        <v>1019.3</v>
      </c>
      <c r="I120" t="s">
        <v>86</v>
      </c>
      <c r="J120" t="str">
        <f ca="1">IFERROR(_xludf.xlookup(B120,Restaurants!$A$5:$A$19,Restaurants!$B$5:$B$19),"Unknown")</f>
        <v>Unknown</v>
      </c>
      <c r="K120" t="str">
        <f ca="1">IFERROR(_xludf.xlookup(B120,Restaurants!$A$5:$A$19,Restaurants!$D$5:$D$19),"Unknown")</f>
        <v>Unknown</v>
      </c>
      <c r="L120" t="str">
        <f>IFERROR(INDEX(Restaurants!$C$5:$C$19,MATCH(B120,Restaurants!$A$5:$A$19,0)),"Unknown")</f>
        <v>Central</v>
      </c>
      <c r="M120" t="e">
        <f ca="1">IF(OR(F120&lt;QStats!$B$8,F120&gt;QStats!$B$9),"Yes","No")</f>
        <v>#NAME?</v>
      </c>
    </row>
    <row r="121" spans="1:13" ht="14.4" x14ac:dyDescent="0.3">
      <c r="A121" t="s">
        <v>207</v>
      </c>
      <c r="B121" t="s">
        <v>69</v>
      </c>
      <c r="C121" t="s">
        <v>91</v>
      </c>
      <c r="D121" t="s">
        <v>52</v>
      </c>
      <c r="E121" s="6">
        <v>46290</v>
      </c>
      <c r="F121" s="7">
        <v>40</v>
      </c>
      <c r="G121" s="8">
        <v>3.7</v>
      </c>
      <c r="H121" s="9">
        <v>1154.06</v>
      </c>
      <c r="I121" t="s">
        <v>86</v>
      </c>
      <c r="J121" t="str">
        <f ca="1">IFERROR(_xludf.xlookup(B121,Restaurants!$A$5:$A$19,Restaurants!$B$5:$B$19),"Unknown")</f>
        <v>Unknown</v>
      </c>
      <c r="K121" t="str">
        <f ca="1">IFERROR(_xludf.xlookup(B121,Restaurants!$A$5:$A$19,Restaurants!$D$5:$D$19),"Unknown")</f>
        <v>Unknown</v>
      </c>
      <c r="L121" t="str">
        <f>IFERROR(INDEX(Restaurants!$C$5:$C$19,MATCH(B121,Restaurants!$A$5:$A$19,0)),"Unknown")</f>
        <v>North</v>
      </c>
      <c r="M121" t="e">
        <f ca="1">IF(OR(F121&lt;QStats!$B$8,F121&gt;QStats!$B$9),"Yes","No")</f>
        <v>#NAME?</v>
      </c>
    </row>
    <row r="122" spans="1:13" ht="14.4" x14ac:dyDescent="0.3">
      <c r="A122" t="s">
        <v>208</v>
      </c>
      <c r="B122" t="s">
        <v>69</v>
      </c>
      <c r="C122" t="s">
        <v>85</v>
      </c>
      <c r="D122" t="s">
        <v>52</v>
      </c>
      <c r="E122" s="6">
        <v>46283</v>
      </c>
      <c r="F122" s="7">
        <v>47</v>
      </c>
      <c r="G122" s="8">
        <v>4.2</v>
      </c>
      <c r="H122" s="9">
        <v>1138.52</v>
      </c>
      <c r="I122" t="s">
        <v>86</v>
      </c>
      <c r="J122" t="str">
        <f ca="1">IFERROR(_xludf.xlookup(B122,Restaurants!$A$5:$A$19,Restaurants!$B$5:$B$19),"Unknown")</f>
        <v>Unknown</v>
      </c>
      <c r="K122" t="str">
        <f ca="1">IFERROR(_xludf.xlookup(B122,Restaurants!$A$5:$A$19,Restaurants!$D$5:$D$19),"Unknown")</f>
        <v>Unknown</v>
      </c>
      <c r="L122" t="str">
        <f>IFERROR(INDEX(Restaurants!$C$5:$C$19,MATCH(B122,Restaurants!$A$5:$A$19,0)),"Unknown")</f>
        <v>North</v>
      </c>
      <c r="M122" t="e">
        <f ca="1">IF(OR(F122&lt;QStats!$B$8,F122&gt;QStats!$B$9),"Yes","No")</f>
        <v>#NAME?</v>
      </c>
    </row>
    <row r="123" spans="1:13" ht="14.4" x14ac:dyDescent="0.3">
      <c r="A123" t="s">
        <v>209</v>
      </c>
      <c r="B123" t="s">
        <v>55</v>
      </c>
      <c r="C123" t="s">
        <v>85</v>
      </c>
      <c r="D123" t="s">
        <v>37</v>
      </c>
      <c r="E123" s="6">
        <v>46285</v>
      </c>
      <c r="F123" s="7">
        <v>33</v>
      </c>
      <c r="G123" s="8">
        <v>3.9</v>
      </c>
      <c r="H123" s="9">
        <v>255.61</v>
      </c>
      <c r="I123" t="s">
        <v>86</v>
      </c>
      <c r="J123" t="str">
        <f ca="1">IFERROR(_xludf.xlookup(B123,Restaurants!$A$5:$A$19,Restaurants!$B$5:$B$19),"Unknown")</f>
        <v>Unknown</v>
      </c>
      <c r="K123" t="str">
        <f ca="1">IFERROR(_xludf.xlookup(B123,Restaurants!$A$5:$A$19,Restaurants!$D$5:$D$19),"Unknown")</f>
        <v>Unknown</v>
      </c>
      <c r="L123" t="str">
        <f>IFERROR(INDEX(Restaurants!$C$5:$C$19,MATCH(B123,Restaurants!$A$5:$A$19,0)),"Unknown")</f>
        <v>Central</v>
      </c>
      <c r="M123" t="e">
        <f ca="1">IF(OR(F123&lt;QStats!$B$8,F123&gt;QStats!$B$9),"Yes","No")</f>
        <v>#NAME?</v>
      </c>
    </row>
    <row r="124" spans="1:13" ht="14.4" x14ac:dyDescent="0.3">
      <c r="A124" t="s">
        <v>210</v>
      </c>
      <c r="B124" t="s">
        <v>53</v>
      </c>
      <c r="C124" t="s">
        <v>85</v>
      </c>
      <c r="D124" t="s">
        <v>41</v>
      </c>
      <c r="E124" s="6">
        <v>46241</v>
      </c>
      <c r="F124" s="7">
        <v>27</v>
      </c>
      <c r="G124" s="8">
        <v>4.5999999999999996</v>
      </c>
      <c r="H124" s="9">
        <v>1058.6099999999999</v>
      </c>
      <c r="I124" t="s">
        <v>86</v>
      </c>
      <c r="J124" t="str">
        <f ca="1">IFERROR(_xludf.xlookup(B124,Restaurants!$A$5:$A$19,Restaurants!$B$5:$B$19),"Unknown")</f>
        <v>Unknown</v>
      </c>
      <c r="K124" t="str">
        <f ca="1">IFERROR(_xludf.xlookup(B124,Restaurants!$A$5:$A$19,Restaurants!$D$5:$D$19),"Unknown")</f>
        <v>Unknown</v>
      </c>
      <c r="L124" t="str">
        <f>IFERROR(INDEX(Restaurants!$C$5:$C$19,MATCH(B124,Restaurants!$A$5:$A$19,0)),"Unknown")</f>
        <v>West</v>
      </c>
      <c r="M124" t="e">
        <f ca="1">IF(OR(F124&lt;QStats!$B$8,F124&gt;QStats!$B$9),"Yes","No")</f>
        <v>#NAME?</v>
      </c>
    </row>
  </sheetData>
  <autoFilter ref="A4:M124" xr:uid="{00000000-0009-0000-0000-000003000000}"/>
  <mergeCells count="2">
    <mergeCell ref="A1:M1"/>
    <mergeCell ref="A2:M2"/>
  </mergeCells>
  <conditionalFormatting sqref="F5:F124">
    <cfRule type="colorScale" priority="2">
      <colorScale>
        <cfvo type="num" val="30"/>
        <cfvo type="num" val="45"/>
        <cfvo type="num" val="60"/>
        <color rgb="FF63BE7B"/>
        <color rgb="FFFFEB84"/>
        <color rgb="FFF8696B"/>
      </colorScale>
    </cfRule>
  </conditionalFormatting>
  <conditionalFormatting sqref="H5:H124">
    <cfRule type="expression" dxfId="1" priority="3">
      <formula>H5&gt;=LARGE($H$5:$H$124,ROUNDUP(COUNT($H$5:$H$124)*10%,0))</formula>
    </cfRule>
  </conditionalFormatting>
  <dataValidations count="2">
    <dataValidation type="list" showInputMessage="1" showErrorMessage="1" errorTitle="Invalid Cuisine" error="Select a cuisine from the dropdown." promptTitle="Cuisine" prompt="Choose one of the five approved cuisine types." sqref="C5:C124" xr:uid="{00000000-0002-0000-0300-000000000000}">
      <formula1>"North Indian,South Indian,Chinese,Italian,Mexican"</formula1>
      <formula2>0</formula2>
    </dataValidation>
    <dataValidation type="whole" showInputMessage="1" showErrorMessage="1" errorTitle="Invalid Rating" error="Rating must be a whole number between 1 and 5." promptTitle="Rating" prompt="Enter a whole-number rating from 1 to 5." sqref="G5:G124" xr:uid="{00000000-0002-0000-0300-000001000000}">
      <formula1>1</formula1>
      <formula2>5</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2"/>
  <sheetViews>
    <sheetView zoomScaleNormal="100" workbookViewId="0">
      <pane ySplit="4" topLeftCell="A5" activePane="bottomLeft" state="frozen"/>
      <selection pane="bottomLeft" sqref="A1:M1"/>
    </sheetView>
  </sheetViews>
  <sheetFormatPr defaultColWidth="8.6640625" defaultRowHeight="15" customHeight="1" x14ac:dyDescent="0.3"/>
  <cols>
    <col min="1" max="1" width="28" customWidth="1"/>
    <col min="2" max="3" width="14" customWidth="1"/>
    <col min="4" max="4" width="10" customWidth="1"/>
    <col min="5" max="5" width="21" customWidth="1"/>
    <col min="6" max="6" width="14" customWidth="1"/>
    <col min="7" max="7" width="10" customWidth="1"/>
    <col min="8" max="8" width="14" customWidth="1"/>
    <col min="9" max="9" width="11" customWidth="1"/>
    <col min="10" max="12" width="28" customWidth="1"/>
    <col min="13" max="13" width="14" customWidth="1"/>
  </cols>
  <sheetData>
    <row r="1" spans="1:13" ht="27.75" customHeight="1" x14ac:dyDescent="0.3"/>
    <row r="2" spans="1:13" ht="30" customHeight="1" x14ac:dyDescent="0.3"/>
    <row r="4" spans="1:13" ht="27.6" x14ac:dyDescent="0.3">
      <c r="A4" s="10" t="s">
        <v>75</v>
      </c>
      <c r="B4" s="10" t="s">
        <v>30</v>
      </c>
      <c r="C4" s="10" t="s">
        <v>76</v>
      </c>
      <c r="D4" s="10" t="s">
        <v>32</v>
      </c>
      <c r="E4" s="10" t="s">
        <v>77</v>
      </c>
      <c r="F4" s="10" t="s">
        <v>78</v>
      </c>
      <c r="G4" s="10" t="s">
        <v>79</v>
      </c>
      <c r="H4" s="10" t="s">
        <v>80</v>
      </c>
      <c r="I4" s="10" t="s">
        <v>81</v>
      </c>
      <c r="J4" s="10" t="s">
        <v>31</v>
      </c>
      <c r="K4" s="10" t="s">
        <v>33</v>
      </c>
      <c r="L4" s="10" t="s">
        <v>82</v>
      </c>
      <c r="M4" s="10" t="s">
        <v>83</v>
      </c>
    </row>
    <row r="5" spans="1:13" ht="14.4" x14ac:dyDescent="0.3">
      <c r="A5" t="s">
        <v>92</v>
      </c>
      <c r="B5" t="s">
        <v>69</v>
      </c>
      <c r="C5" t="s">
        <v>91</v>
      </c>
      <c r="D5" t="s">
        <v>52</v>
      </c>
      <c r="E5" s="6">
        <v>46281</v>
      </c>
      <c r="F5">
        <v>34</v>
      </c>
      <c r="G5">
        <v>4.3</v>
      </c>
      <c r="H5" s="11">
        <v>1354.42</v>
      </c>
      <c r="I5" t="s">
        <v>86</v>
      </c>
      <c r="J5" t="str">
        <f ca="1">IFERROR(_xludf.xlookup(B5,Restaurants!$A$5:$A$19,Restaurants!$B$5:$B$19),"Unknown")</f>
        <v>Unknown</v>
      </c>
      <c r="K5" t="str">
        <f ca="1">IFERROR(_xludf.xlookup(B5,Restaurants!$A$5:$A$19,Restaurants!$D$5:$D$19),"Unknown")</f>
        <v>Unknown</v>
      </c>
      <c r="L5" t="str">
        <f>IFERROR(INDEX(Restaurants!$C$5:$C$19,MATCH(B5,Restaurants!$A$5:$A$19,0)),"Unknown")</f>
        <v>North</v>
      </c>
      <c r="M5" t="s">
        <v>211</v>
      </c>
    </row>
    <row r="6" spans="1:13" ht="14.4" x14ac:dyDescent="0.3">
      <c r="A6" t="s">
        <v>95</v>
      </c>
      <c r="B6" t="s">
        <v>43</v>
      </c>
      <c r="C6" t="s">
        <v>91</v>
      </c>
      <c r="D6" t="s">
        <v>45</v>
      </c>
      <c r="E6" s="6">
        <v>46249</v>
      </c>
      <c r="F6">
        <v>36</v>
      </c>
      <c r="G6">
        <v>4.5</v>
      </c>
      <c r="H6" s="11">
        <v>969.23</v>
      </c>
      <c r="I6" t="s">
        <v>86</v>
      </c>
      <c r="J6" t="str">
        <f ca="1">IFERROR(_xludf.xlookup(B6,Restaurants!$A$5:$A$19,Restaurants!$B$5:$B$19),"Unknown")</f>
        <v>Unknown</v>
      </c>
      <c r="K6" t="str">
        <f ca="1">IFERROR(_xludf.xlookup(B6,Restaurants!$A$5:$A$19,Restaurants!$D$5:$D$19),"Unknown")</f>
        <v>Unknown</v>
      </c>
      <c r="L6" t="str">
        <f>IFERROR(INDEX(Restaurants!$C$5:$C$19,MATCH(B6,Restaurants!$A$5:$A$19,0)),"Unknown")</f>
        <v>South</v>
      </c>
      <c r="M6" t="s">
        <v>211</v>
      </c>
    </row>
    <row r="7" spans="1:13" ht="14.4" x14ac:dyDescent="0.3">
      <c r="A7" t="s">
        <v>107</v>
      </c>
      <c r="B7" t="s">
        <v>71</v>
      </c>
      <c r="C7" t="s">
        <v>85</v>
      </c>
      <c r="D7" t="s">
        <v>48</v>
      </c>
      <c r="E7" s="6">
        <v>46284</v>
      </c>
      <c r="F7">
        <v>30</v>
      </c>
      <c r="G7">
        <v>4.8</v>
      </c>
      <c r="H7" s="11">
        <v>1157.8900000000001</v>
      </c>
      <c r="I7" t="s">
        <v>86</v>
      </c>
      <c r="J7" t="str">
        <f ca="1">IFERROR(_xludf.xlookup(B7,Restaurants!$A$5:$A$19,Restaurants!$B$5:$B$19),"Unknown")</f>
        <v>Unknown</v>
      </c>
      <c r="K7" t="str">
        <f ca="1">IFERROR(_xludf.xlookup(B7,Restaurants!$A$5:$A$19,Restaurants!$D$5:$D$19),"Unknown")</f>
        <v>Unknown</v>
      </c>
      <c r="L7" t="str">
        <f>IFERROR(INDEX(Restaurants!$C$5:$C$19,MATCH(B7,Restaurants!$A$5:$A$19,0)),"Unknown")</f>
        <v>East</v>
      </c>
      <c r="M7" t="s">
        <v>211</v>
      </c>
    </row>
    <row r="8" spans="1:13" ht="14.4" x14ac:dyDescent="0.3">
      <c r="A8" t="s">
        <v>108</v>
      </c>
      <c r="B8" t="s">
        <v>59</v>
      </c>
      <c r="C8" t="s">
        <v>85</v>
      </c>
      <c r="D8" t="s">
        <v>52</v>
      </c>
      <c r="E8" s="6">
        <v>46280</v>
      </c>
      <c r="F8">
        <v>33</v>
      </c>
      <c r="G8">
        <v>4.2</v>
      </c>
      <c r="H8" s="11">
        <v>1242.95</v>
      </c>
      <c r="I8" t="s">
        <v>86</v>
      </c>
      <c r="J8" t="str">
        <f ca="1">IFERROR(_xludf.xlookup(B8,Restaurants!$A$5:$A$19,Restaurants!$B$5:$B$19),"Unknown")</f>
        <v>Unknown</v>
      </c>
      <c r="K8" t="str">
        <f ca="1">IFERROR(_xludf.xlookup(B8,Restaurants!$A$5:$A$19,Restaurants!$D$5:$D$19),"Unknown")</f>
        <v>Unknown</v>
      </c>
      <c r="L8" t="str">
        <f>IFERROR(INDEX(Restaurants!$C$5:$C$19,MATCH(B8,Restaurants!$A$5:$A$19,0)),"Unknown")</f>
        <v>North</v>
      </c>
      <c r="M8" t="s">
        <v>211</v>
      </c>
    </row>
    <row r="9" spans="1:13" ht="14.4" x14ac:dyDescent="0.3">
      <c r="A9" t="s">
        <v>111</v>
      </c>
      <c r="B9" t="s">
        <v>46</v>
      </c>
      <c r="C9" t="s">
        <v>97</v>
      </c>
      <c r="D9" t="s">
        <v>48</v>
      </c>
      <c r="E9" s="6">
        <v>46295</v>
      </c>
      <c r="F9">
        <v>22</v>
      </c>
      <c r="G9">
        <v>5</v>
      </c>
      <c r="H9" s="11">
        <v>856.62</v>
      </c>
      <c r="I9" t="s">
        <v>86</v>
      </c>
      <c r="J9" t="str">
        <f ca="1">IFERROR(_xludf.xlookup(B9,Restaurants!$A$5:$A$19,Restaurants!$B$5:$B$19),"Unknown")</f>
        <v>Unknown</v>
      </c>
      <c r="K9" t="str">
        <f ca="1">IFERROR(_xludf.xlookup(B9,Restaurants!$A$5:$A$19,Restaurants!$D$5:$D$19),"Unknown")</f>
        <v>Unknown</v>
      </c>
      <c r="L9" t="str">
        <f>IFERROR(INDEX(Restaurants!$C$5:$C$19,MATCH(B9,Restaurants!$A$5:$A$19,0)),"Unknown")</f>
        <v>East</v>
      </c>
      <c r="M9" t="s">
        <v>211</v>
      </c>
    </row>
    <row r="10" spans="1:13" ht="14.4" x14ac:dyDescent="0.3">
      <c r="A10" t="s">
        <v>113</v>
      </c>
      <c r="B10" t="s">
        <v>65</v>
      </c>
      <c r="C10" t="s">
        <v>85</v>
      </c>
      <c r="D10" t="s">
        <v>41</v>
      </c>
      <c r="E10" s="6">
        <v>46233</v>
      </c>
      <c r="F10">
        <v>36</v>
      </c>
      <c r="G10">
        <v>4.2</v>
      </c>
      <c r="H10" s="11">
        <v>562.53</v>
      </c>
      <c r="I10" t="s">
        <v>86</v>
      </c>
      <c r="J10" t="str">
        <f ca="1">IFERROR(_xludf.xlookup(B10,Restaurants!$A$5:$A$19,Restaurants!$B$5:$B$19),"Unknown")</f>
        <v>Unknown</v>
      </c>
      <c r="K10" t="str">
        <f ca="1">IFERROR(_xludf.xlookup(B10,Restaurants!$A$5:$A$19,Restaurants!$D$5:$D$19),"Unknown")</f>
        <v>Unknown</v>
      </c>
      <c r="L10" t="str">
        <f>IFERROR(INDEX(Restaurants!$C$5:$C$19,MATCH(B10,Restaurants!$A$5:$A$19,0)),"Unknown")</f>
        <v>West</v>
      </c>
      <c r="M10" t="s">
        <v>211</v>
      </c>
    </row>
    <row r="11" spans="1:13" ht="14.4" x14ac:dyDescent="0.3">
      <c r="A11" t="s">
        <v>114</v>
      </c>
      <c r="B11" t="s">
        <v>57</v>
      </c>
      <c r="C11" t="s">
        <v>97</v>
      </c>
      <c r="D11" t="s">
        <v>48</v>
      </c>
      <c r="E11" s="6">
        <v>46273</v>
      </c>
      <c r="F11">
        <v>50</v>
      </c>
      <c r="G11">
        <v>4.8</v>
      </c>
      <c r="H11" s="11">
        <v>1185.08</v>
      </c>
      <c r="I11" t="s">
        <v>86</v>
      </c>
      <c r="J11" t="str">
        <f ca="1">IFERROR(_xludf.xlookup(B11,Restaurants!$A$5:$A$19,Restaurants!$B$5:$B$19),"Unknown")</f>
        <v>Unknown</v>
      </c>
      <c r="K11" t="str">
        <f ca="1">IFERROR(_xludf.xlookup(B11,Restaurants!$A$5:$A$19,Restaurants!$D$5:$D$19),"Unknown")</f>
        <v>Unknown</v>
      </c>
      <c r="L11" t="str">
        <f>IFERROR(INDEX(Restaurants!$C$5:$C$19,MATCH(B11,Restaurants!$A$5:$A$19,0)),"Unknown")</f>
        <v>East</v>
      </c>
      <c r="M11" t="s">
        <v>211</v>
      </c>
    </row>
    <row r="12" spans="1:13" ht="14.4" x14ac:dyDescent="0.3">
      <c r="A12" t="s">
        <v>115</v>
      </c>
      <c r="B12" t="s">
        <v>67</v>
      </c>
      <c r="C12" t="s">
        <v>89</v>
      </c>
      <c r="D12" t="s">
        <v>45</v>
      </c>
      <c r="E12" s="6">
        <v>46228</v>
      </c>
      <c r="F12">
        <v>46</v>
      </c>
      <c r="G12">
        <v>4.4000000000000004</v>
      </c>
      <c r="H12" s="11">
        <v>1282.52</v>
      </c>
      <c r="I12" t="s">
        <v>86</v>
      </c>
      <c r="J12" t="str">
        <f ca="1">IFERROR(_xludf.xlookup(B12,Restaurants!$A$5:$A$19,Restaurants!$B$5:$B$19),"Unknown")</f>
        <v>Unknown</v>
      </c>
      <c r="K12" t="str">
        <f ca="1">IFERROR(_xludf.xlookup(B12,Restaurants!$A$5:$A$19,Restaurants!$D$5:$D$19),"Unknown")</f>
        <v>Unknown</v>
      </c>
      <c r="L12" t="str">
        <f>IFERROR(INDEX(Restaurants!$C$5:$C$19,MATCH(B12,Restaurants!$A$5:$A$19,0)),"Unknown")</f>
        <v>South</v>
      </c>
      <c r="M12" t="s">
        <v>211</v>
      </c>
    </row>
    <row r="13" spans="1:13" ht="14.4" x14ac:dyDescent="0.3">
      <c r="A13" t="s">
        <v>120</v>
      </c>
      <c r="B13" t="s">
        <v>55</v>
      </c>
      <c r="C13" t="s">
        <v>91</v>
      </c>
      <c r="D13" t="s">
        <v>37</v>
      </c>
      <c r="E13" s="6">
        <v>46262</v>
      </c>
      <c r="F13">
        <v>31</v>
      </c>
      <c r="G13">
        <v>4.9000000000000004</v>
      </c>
      <c r="H13" s="11">
        <v>1034.0999999999999</v>
      </c>
      <c r="I13" t="s">
        <v>86</v>
      </c>
      <c r="J13" t="str">
        <f ca="1">IFERROR(_xludf.xlookup(B13,Restaurants!$A$5:$A$19,Restaurants!$B$5:$B$19),"Unknown")</f>
        <v>Unknown</v>
      </c>
      <c r="K13" t="str">
        <f ca="1">IFERROR(_xludf.xlookup(B13,Restaurants!$A$5:$A$19,Restaurants!$D$5:$D$19),"Unknown")</f>
        <v>Unknown</v>
      </c>
      <c r="L13" t="str">
        <f>IFERROR(INDEX(Restaurants!$C$5:$C$19,MATCH(B13,Restaurants!$A$5:$A$19,0)),"Unknown")</f>
        <v>Central</v>
      </c>
      <c r="M13" t="s">
        <v>211</v>
      </c>
    </row>
    <row r="14" spans="1:13" ht="14.4" x14ac:dyDescent="0.3">
      <c r="A14" t="s">
        <v>121</v>
      </c>
      <c r="B14" t="s">
        <v>57</v>
      </c>
      <c r="C14" t="s">
        <v>97</v>
      </c>
      <c r="D14" t="s">
        <v>48</v>
      </c>
      <c r="E14" s="6">
        <v>46228</v>
      </c>
      <c r="F14">
        <v>26</v>
      </c>
      <c r="G14">
        <v>5</v>
      </c>
      <c r="H14" s="11">
        <v>1140.01</v>
      </c>
      <c r="I14" t="s">
        <v>86</v>
      </c>
      <c r="J14" t="str">
        <f ca="1">IFERROR(_xludf.xlookup(B14,Restaurants!$A$5:$A$19,Restaurants!$B$5:$B$19),"Unknown")</f>
        <v>Unknown</v>
      </c>
      <c r="K14" t="str">
        <f ca="1">IFERROR(_xludf.xlookup(B14,Restaurants!$A$5:$A$19,Restaurants!$D$5:$D$19),"Unknown")</f>
        <v>Unknown</v>
      </c>
      <c r="L14" t="str">
        <f>IFERROR(INDEX(Restaurants!$C$5:$C$19,MATCH(B14,Restaurants!$A$5:$A$19,0)),"Unknown")</f>
        <v>East</v>
      </c>
      <c r="M14" t="s">
        <v>211</v>
      </c>
    </row>
    <row r="15" spans="1:13" ht="14.4" x14ac:dyDescent="0.3">
      <c r="A15" t="s">
        <v>124</v>
      </c>
      <c r="B15" t="s">
        <v>46</v>
      </c>
      <c r="C15" t="s">
        <v>85</v>
      </c>
      <c r="D15" t="s">
        <v>48</v>
      </c>
      <c r="E15" s="6">
        <v>46283</v>
      </c>
      <c r="F15">
        <v>47</v>
      </c>
      <c r="G15">
        <v>4.3</v>
      </c>
      <c r="H15" s="11">
        <v>540.74</v>
      </c>
      <c r="I15" t="s">
        <v>86</v>
      </c>
      <c r="J15" t="str">
        <f ca="1">IFERROR(_xludf.xlookup(B15,Restaurants!$A$5:$A$19,Restaurants!$B$5:$B$19),"Unknown")</f>
        <v>Unknown</v>
      </c>
      <c r="K15" t="str">
        <f ca="1">IFERROR(_xludf.xlookup(B15,Restaurants!$A$5:$A$19,Restaurants!$D$5:$D$19),"Unknown")</f>
        <v>Unknown</v>
      </c>
      <c r="L15" t="str">
        <f>IFERROR(INDEX(Restaurants!$C$5:$C$19,MATCH(B15,Restaurants!$A$5:$A$19,0)),"Unknown")</f>
        <v>East</v>
      </c>
      <c r="M15" t="s">
        <v>211</v>
      </c>
    </row>
    <row r="16" spans="1:13" ht="14.4" x14ac:dyDescent="0.3">
      <c r="A16" t="s">
        <v>125</v>
      </c>
      <c r="B16" t="s">
        <v>63</v>
      </c>
      <c r="C16" t="s">
        <v>91</v>
      </c>
      <c r="D16" t="s">
        <v>37</v>
      </c>
      <c r="E16" s="6">
        <v>46234</v>
      </c>
      <c r="F16">
        <v>33</v>
      </c>
      <c r="G16">
        <v>4.4000000000000004</v>
      </c>
      <c r="H16" s="11">
        <v>1362.69</v>
      </c>
      <c r="I16" t="s">
        <v>86</v>
      </c>
      <c r="J16" t="str">
        <f ca="1">IFERROR(_xludf.xlookup(B16,Restaurants!$A$5:$A$19,Restaurants!$B$5:$B$19),"Unknown")</f>
        <v>Unknown</v>
      </c>
      <c r="K16" t="str">
        <f ca="1">IFERROR(_xludf.xlookup(B16,Restaurants!$A$5:$A$19,Restaurants!$D$5:$D$19),"Unknown")</f>
        <v>Unknown</v>
      </c>
      <c r="L16" t="str">
        <f>IFERROR(INDEX(Restaurants!$C$5:$C$19,MATCH(B16,Restaurants!$A$5:$A$19,0)),"Unknown")</f>
        <v>Central</v>
      </c>
      <c r="M16" t="s">
        <v>211</v>
      </c>
    </row>
    <row r="17" spans="1:13" ht="14.4" x14ac:dyDescent="0.3">
      <c r="A17" t="s">
        <v>129</v>
      </c>
      <c r="B17" t="s">
        <v>71</v>
      </c>
      <c r="C17" t="s">
        <v>85</v>
      </c>
      <c r="D17" t="s">
        <v>48</v>
      </c>
      <c r="E17" s="6">
        <v>46221</v>
      </c>
      <c r="F17">
        <v>32</v>
      </c>
      <c r="G17">
        <v>5</v>
      </c>
      <c r="H17" s="11">
        <v>566.55999999999995</v>
      </c>
      <c r="I17" t="s">
        <v>86</v>
      </c>
      <c r="J17" t="str">
        <f ca="1">IFERROR(_xludf.xlookup(B17,Restaurants!$A$5:$A$19,Restaurants!$B$5:$B$19),"Unknown")</f>
        <v>Unknown</v>
      </c>
      <c r="K17" t="str">
        <f ca="1">IFERROR(_xludf.xlookup(B17,Restaurants!$A$5:$A$19,Restaurants!$D$5:$D$19),"Unknown")</f>
        <v>Unknown</v>
      </c>
      <c r="L17" t="str">
        <f>IFERROR(INDEX(Restaurants!$C$5:$C$19,MATCH(B17,Restaurants!$A$5:$A$19,0)),"Unknown")</f>
        <v>East</v>
      </c>
      <c r="M17" t="s">
        <v>211</v>
      </c>
    </row>
    <row r="18" spans="1:13" ht="14.4" x14ac:dyDescent="0.3">
      <c r="A18" t="s">
        <v>131</v>
      </c>
      <c r="B18" t="s">
        <v>35</v>
      </c>
      <c r="C18" t="s">
        <v>85</v>
      </c>
      <c r="D18" t="s">
        <v>37</v>
      </c>
      <c r="E18" s="6">
        <v>46285</v>
      </c>
      <c r="F18">
        <v>49</v>
      </c>
      <c r="G18">
        <v>4</v>
      </c>
      <c r="H18" s="11">
        <v>542.20000000000005</v>
      </c>
      <c r="I18" t="s">
        <v>86</v>
      </c>
      <c r="J18" t="str">
        <f ca="1">IFERROR(_xludf.xlookup(B18,Restaurants!$A$5:$A$19,Restaurants!$B$5:$B$19),"Unknown")</f>
        <v>Unknown</v>
      </c>
      <c r="K18" t="str">
        <f ca="1">IFERROR(_xludf.xlookup(B18,Restaurants!$A$5:$A$19,Restaurants!$D$5:$D$19),"Unknown")</f>
        <v>Unknown</v>
      </c>
      <c r="L18" t="str">
        <f>IFERROR(INDEX(Restaurants!$C$5:$C$19,MATCH(B18,Restaurants!$A$5:$A$19,0)),"Unknown")</f>
        <v>Central</v>
      </c>
      <c r="M18" t="s">
        <v>211</v>
      </c>
    </row>
    <row r="19" spans="1:13" ht="14.4" x14ac:dyDescent="0.3">
      <c r="A19" t="s">
        <v>134</v>
      </c>
      <c r="B19" t="s">
        <v>67</v>
      </c>
      <c r="C19" t="s">
        <v>85</v>
      </c>
      <c r="D19" t="s">
        <v>45</v>
      </c>
      <c r="E19" s="6">
        <v>46249</v>
      </c>
      <c r="F19">
        <v>36</v>
      </c>
      <c r="G19">
        <v>4.5</v>
      </c>
      <c r="H19" s="11">
        <v>1307.49</v>
      </c>
      <c r="I19" t="s">
        <v>86</v>
      </c>
      <c r="J19" t="str">
        <f ca="1">IFERROR(_xludf.xlookup(B19,Restaurants!$A$5:$A$19,Restaurants!$B$5:$B$19),"Unknown")</f>
        <v>Unknown</v>
      </c>
      <c r="K19" t="str">
        <f ca="1">IFERROR(_xludf.xlookup(B19,Restaurants!$A$5:$A$19,Restaurants!$D$5:$D$19),"Unknown")</f>
        <v>Unknown</v>
      </c>
      <c r="L19" t="str">
        <f>IFERROR(INDEX(Restaurants!$C$5:$C$19,MATCH(B19,Restaurants!$A$5:$A$19,0)),"Unknown")</f>
        <v>South</v>
      </c>
      <c r="M19" t="s">
        <v>211</v>
      </c>
    </row>
    <row r="20" spans="1:13" ht="14.4" x14ac:dyDescent="0.3">
      <c r="A20" t="s">
        <v>138</v>
      </c>
      <c r="B20" t="s">
        <v>67</v>
      </c>
      <c r="C20" t="s">
        <v>97</v>
      </c>
      <c r="D20" t="s">
        <v>45</v>
      </c>
      <c r="E20" s="6">
        <v>46232</v>
      </c>
      <c r="F20">
        <v>40</v>
      </c>
      <c r="G20">
        <v>4.2</v>
      </c>
      <c r="H20" s="11">
        <v>1409.27</v>
      </c>
      <c r="I20" t="s">
        <v>86</v>
      </c>
      <c r="J20" t="str">
        <f ca="1">IFERROR(_xludf.xlookup(B20,Restaurants!$A$5:$A$19,Restaurants!$B$5:$B$19),"Unknown")</f>
        <v>Unknown</v>
      </c>
      <c r="K20" t="str">
        <f ca="1">IFERROR(_xludf.xlookup(B20,Restaurants!$A$5:$A$19,Restaurants!$D$5:$D$19),"Unknown")</f>
        <v>Unknown</v>
      </c>
      <c r="L20" t="str">
        <f>IFERROR(INDEX(Restaurants!$C$5:$C$19,MATCH(B20,Restaurants!$A$5:$A$19,0)),"Unknown")</f>
        <v>South</v>
      </c>
      <c r="M20" t="s">
        <v>211</v>
      </c>
    </row>
    <row r="21" spans="1:13" ht="14.4" x14ac:dyDescent="0.3">
      <c r="A21" t="s">
        <v>142</v>
      </c>
      <c r="B21" t="s">
        <v>59</v>
      </c>
      <c r="C21" t="s">
        <v>97</v>
      </c>
      <c r="D21" t="s">
        <v>52</v>
      </c>
      <c r="E21" s="6">
        <v>46250</v>
      </c>
      <c r="F21">
        <v>12</v>
      </c>
      <c r="G21">
        <v>4.7</v>
      </c>
      <c r="H21" s="11">
        <v>1035.97</v>
      </c>
      <c r="I21" t="s">
        <v>86</v>
      </c>
      <c r="J21" t="str">
        <f ca="1">IFERROR(_xludf.xlookup(B21,Restaurants!$A$5:$A$19,Restaurants!$B$5:$B$19),"Unknown")</f>
        <v>Unknown</v>
      </c>
      <c r="K21" t="str">
        <f ca="1">IFERROR(_xludf.xlookup(B21,Restaurants!$A$5:$A$19,Restaurants!$D$5:$D$19),"Unknown")</f>
        <v>Unknown</v>
      </c>
      <c r="L21" t="str">
        <f>IFERROR(INDEX(Restaurants!$C$5:$C$19,MATCH(B21,Restaurants!$A$5:$A$19,0)),"Unknown")</f>
        <v>North</v>
      </c>
      <c r="M21" t="s">
        <v>211</v>
      </c>
    </row>
    <row r="22" spans="1:13" ht="14.4" x14ac:dyDescent="0.3">
      <c r="A22" t="s">
        <v>145</v>
      </c>
      <c r="B22" t="s">
        <v>50</v>
      </c>
      <c r="C22" t="s">
        <v>91</v>
      </c>
      <c r="D22" t="s">
        <v>52</v>
      </c>
      <c r="E22" s="6">
        <v>46230</v>
      </c>
      <c r="F22">
        <v>22</v>
      </c>
      <c r="G22">
        <v>4.4000000000000004</v>
      </c>
      <c r="H22" s="11">
        <v>763.86</v>
      </c>
      <c r="I22" t="s">
        <v>86</v>
      </c>
      <c r="J22" t="str">
        <f ca="1">IFERROR(_xludf.xlookup(B22,Restaurants!$A$5:$A$19,Restaurants!$B$5:$B$19),"Unknown")</f>
        <v>Unknown</v>
      </c>
      <c r="K22" t="str">
        <f ca="1">IFERROR(_xludf.xlookup(B22,Restaurants!$A$5:$A$19,Restaurants!$D$5:$D$19),"Unknown")</f>
        <v>Unknown</v>
      </c>
      <c r="L22" t="str">
        <f>IFERROR(INDEX(Restaurants!$C$5:$C$19,MATCH(B22,Restaurants!$A$5:$A$19,0)),"Unknown")</f>
        <v>North</v>
      </c>
      <c r="M22" t="s">
        <v>211</v>
      </c>
    </row>
    <row r="23" spans="1:13" ht="14.4" x14ac:dyDescent="0.3">
      <c r="A23" t="s">
        <v>148</v>
      </c>
      <c r="B23" t="s">
        <v>61</v>
      </c>
      <c r="C23" t="s">
        <v>85</v>
      </c>
      <c r="D23" t="s">
        <v>45</v>
      </c>
      <c r="E23" s="6">
        <v>46262</v>
      </c>
      <c r="F23">
        <v>22</v>
      </c>
      <c r="G23">
        <v>4.5</v>
      </c>
      <c r="H23" s="11">
        <v>828.08</v>
      </c>
      <c r="I23" t="s">
        <v>86</v>
      </c>
      <c r="J23" t="str">
        <f ca="1">IFERROR(_xludf.xlookup(B23,Restaurants!$A$5:$A$19,Restaurants!$B$5:$B$19),"Unknown")</f>
        <v>Unknown</v>
      </c>
      <c r="K23" t="str">
        <f ca="1">IFERROR(_xludf.xlookup(B23,Restaurants!$A$5:$A$19,Restaurants!$D$5:$D$19),"Unknown")</f>
        <v>Unknown</v>
      </c>
      <c r="L23" t="str">
        <f>IFERROR(INDEX(Restaurants!$C$5:$C$19,MATCH(B23,Restaurants!$A$5:$A$19,0)),"Unknown")</f>
        <v>South</v>
      </c>
      <c r="M23" t="s">
        <v>211</v>
      </c>
    </row>
    <row r="24" spans="1:13" ht="14.4" x14ac:dyDescent="0.3">
      <c r="A24" t="s">
        <v>150</v>
      </c>
      <c r="B24" t="s">
        <v>46</v>
      </c>
      <c r="C24" t="s">
        <v>97</v>
      </c>
      <c r="D24" t="s">
        <v>48</v>
      </c>
      <c r="E24" s="6">
        <v>46293</v>
      </c>
      <c r="F24">
        <v>31</v>
      </c>
      <c r="G24">
        <v>4.0999999999999996</v>
      </c>
      <c r="H24" s="11">
        <v>781.45</v>
      </c>
      <c r="I24" t="s">
        <v>86</v>
      </c>
      <c r="J24" t="str">
        <f ca="1">IFERROR(_xludf.xlookup(B24,Restaurants!$A$5:$A$19,Restaurants!$B$5:$B$19),"Unknown")</f>
        <v>Unknown</v>
      </c>
      <c r="K24" t="str">
        <f ca="1">IFERROR(_xludf.xlookup(B24,Restaurants!$A$5:$A$19,Restaurants!$D$5:$D$19),"Unknown")</f>
        <v>Unknown</v>
      </c>
      <c r="L24" t="str">
        <f>IFERROR(INDEX(Restaurants!$C$5:$C$19,MATCH(B24,Restaurants!$A$5:$A$19,0)),"Unknown")</f>
        <v>East</v>
      </c>
      <c r="M24" t="s">
        <v>211</v>
      </c>
    </row>
    <row r="25" spans="1:13" ht="14.4" x14ac:dyDescent="0.3">
      <c r="A25" t="s">
        <v>151</v>
      </c>
      <c r="B25" t="s">
        <v>67</v>
      </c>
      <c r="C25" t="s">
        <v>89</v>
      </c>
      <c r="D25" t="s">
        <v>45</v>
      </c>
      <c r="E25" s="6">
        <v>46289</v>
      </c>
      <c r="F25">
        <v>21</v>
      </c>
      <c r="G25">
        <v>4</v>
      </c>
      <c r="H25" s="11">
        <v>764.37</v>
      </c>
      <c r="I25" t="s">
        <v>86</v>
      </c>
      <c r="J25" t="str">
        <f ca="1">IFERROR(_xludf.xlookup(B25,Restaurants!$A$5:$A$19,Restaurants!$B$5:$B$19),"Unknown")</f>
        <v>Unknown</v>
      </c>
      <c r="K25" t="str">
        <f ca="1">IFERROR(_xludf.xlookup(B25,Restaurants!$A$5:$A$19,Restaurants!$D$5:$D$19),"Unknown")</f>
        <v>Unknown</v>
      </c>
      <c r="L25" t="str">
        <f>IFERROR(INDEX(Restaurants!$C$5:$C$19,MATCH(B25,Restaurants!$A$5:$A$19,0)),"Unknown")</f>
        <v>South</v>
      </c>
      <c r="M25" t="s">
        <v>211</v>
      </c>
    </row>
    <row r="26" spans="1:13" ht="14.4" x14ac:dyDescent="0.3">
      <c r="A26" t="s">
        <v>152</v>
      </c>
      <c r="B26" t="s">
        <v>69</v>
      </c>
      <c r="C26" t="s">
        <v>89</v>
      </c>
      <c r="D26" t="s">
        <v>52</v>
      </c>
      <c r="E26" s="6">
        <v>46274</v>
      </c>
      <c r="F26">
        <v>28</v>
      </c>
      <c r="G26">
        <v>4.2</v>
      </c>
      <c r="H26" s="11">
        <v>1144.69</v>
      </c>
      <c r="I26" t="s">
        <v>86</v>
      </c>
      <c r="J26" t="str">
        <f ca="1">IFERROR(_xludf.xlookup(B26,Restaurants!$A$5:$A$19,Restaurants!$B$5:$B$19),"Unknown")</f>
        <v>Unknown</v>
      </c>
      <c r="K26" t="str">
        <f ca="1">IFERROR(_xludf.xlookup(B26,Restaurants!$A$5:$A$19,Restaurants!$D$5:$D$19),"Unknown")</f>
        <v>Unknown</v>
      </c>
      <c r="L26" t="str">
        <f>IFERROR(INDEX(Restaurants!$C$5:$C$19,MATCH(B26,Restaurants!$A$5:$A$19,0)),"Unknown")</f>
        <v>North</v>
      </c>
      <c r="M26" t="s">
        <v>211</v>
      </c>
    </row>
    <row r="27" spans="1:13" ht="14.4" x14ac:dyDescent="0.3">
      <c r="A27" t="s">
        <v>153</v>
      </c>
      <c r="B27" t="s">
        <v>69</v>
      </c>
      <c r="C27" t="s">
        <v>91</v>
      </c>
      <c r="D27" t="s">
        <v>52</v>
      </c>
      <c r="E27" s="6">
        <v>46270</v>
      </c>
      <c r="F27">
        <v>27</v>
      </c>
      <c r="G27">
        <v>4.0999999999999996</v>
      </c>
      <c r="H27" s="11">
        <v>508.43</v>
      </c>
      <c r="I27" t="s">
        <v>86</v>
      </c>
      <c r="J27" t="str">
        <f ca="1">IFERROR(_xludf.xlookup(B27,Restaurants!$A$5:$A$19,Restaurants!$B$5:$B$19),"Unknown")</f>
        <v>Unknown</v>
      </c>
      <c r="K27" t="str">
        <f ca="1">IFERROR(_xludf.xlookup(B27,Restaurants!$A$5:$A$19,Restaurants!$D$5:$D$19),"Unknown")</f>
        <v>Unknown</v>
      </c>
      <c r="L27" t="str">
        <f>IFERROR(INDEX(Restaurants!$C$5:$C$19,MATCH(B27,Restaurants!$A$5:$A$19,0)),"Unknown")</f>
        <v>North</v>
      </c>
      <c r="M27" t="s">
        <v>211</v>
      </c>
    </row>
    <row r="28" spans="1:13" ht="14.4" x14ac:dyDescent="0.3">
      <c r="A28" t="s">
        <v>156</v>
      </c>
      <c r="B28" t="s">
        <v>61</v>
      </c>
      <c r="C28" t="s">
        <v>85</v>
      </c>
      <c r="D28" t="s">
        <v>45</v>
      </c>
      <c r="E28" s="6">
        <v>46277</v>
      </c>
      <c r="F28">
        <v>33</v>
      </c>
      <c r="G28">
        <v>4.0999999999999996</v>
      </c>
      <c r="H28" s="11">
        <v>1269.74</v>
      </c>
      <c r="I28" t="s">
        <v>86</v>
      </c>
      <c r="J28" t="str">
        <f ca="1">IFERROR(_xludf.xlookup(B28,Restaurants!$A$5:$A$19,Restaurants!$B$5:$B$19),"Unknown")</f>
        <v>Unknown</v>
      </c>
      <c r="K28" t="str">
        <f ca="1">IFERROR(_xludf.xlookup(B28,Restaurants!$A$5:$A$19,Restaurants!$D$5:$D$19),"Unknown")</f>
        <v>Unknown</v>
      </c>
      <c r="L28" t="str">
        <f>IFERROR(INDEX(Restaurants!$C$5:$C$19,MATCH(B28,Restaurants!$A$5:$A$19,0)),"Unknown")</f>
        <v>South</v>
      </c>
      <c r="M28" t="s">
        <v>211</v>
      </c>
    </row>
    <row r="29" spans="1:13" ht="14.4" x14ac:dyDescent="0.3">
      <c r="A29" t="s">
        <v>158</v>
      </c>
      <c r="B29" t="s">
        <v>55</v>
      </c>
      <c r="C29" t="s">
        <v>89</v>
      </c>
      <c r="D29" t="s">
        <v>37</v>
      </c>
      <c r="E29" s="6">
        <v>46207</v>
      </c>
      <c r="F29">
        <v>23</v>
      </c>
      <c r="G29">
        <v>4.5999999999999996</v>
      </c>
      <c r="H29" s="11">
        <v>1253.82</v>
      </c>
      <c r="I29" t="s">
        <v>86</v>
      </c>
      <c r="J29" t="str">
        <f ca="1">IFERROR(_xludf.xlookup(B29,Restaurants!$A$5:$A$19,Restaurants!$B$5:$B$19),"Unknown")</f>
        <v>Unknown</v>
      </c>
      <c r="K29" t="str">
        <f ca="1">IFERROR(_xludf.xlookup(B29,Restaurants!$A$5:$A$19,Restaurants!$D$5:$D$19),"Unknown")</f>
        <v>Unknown</v>
      </c>
      <c r="L29" t="str">
        <f>IFERROR(INDEX(Restaurants!$C$5:$C$19,MATCH(B29,Restaurants!$A$5:$A$19,0)),"Unknown")</f>
        <v>Central</v>
      </c>
      <c r="M29" t="s">
        <v>211</v>
      </c>
    </row>
    <row r="30" spans="1:13" ht="14.4" x14ac:dyDescent="0.3">
      <c r="A30" t="s">
        <v>160</v>
      </c>
      <c r="B30" t="s">
        <v>55</v>
      </c>
      <c r="C30" t="s">
        <v>97</v>
      </c>
      <c r="D30" t="s">
        <v>37</v>
      </c>
      <c r="E30" s="6">
        <v>46263</v>
      </c>
      <c r="F30">
        <v>37</v>
      </c>
      <c r="G30">
        <v>4.5</v>
      </c>
      <c r="H30" s="11">
        <v>635.13</v>
      </c>
      <c r="I30" t="s">
        <v>86</v>
      </c>
      <c r="J30" t="str">
        <f ca="1">IFERROR(_xludf.xlookup(B30,Restaurants!$A$5:$A$19,Restaurants!$B$5:$B$19),"Unknown")</f>
        <v>Unknown</v>
      </c>
      <c r="K30" t="str">
        <f ca="1">IFERROR(_xludf.xlookup(B30,Restaurants!$A$5:$A$19,Restaurants!$D$5:$D$19),"Unknown")</f>
        <v>Unknown</v>
      </c>
      <c r="L30" t="str">
        <f>IFERROR(INDEX(Restaurants!$C$5:$C$19,MATCH(B30,Restaurants!$A$5:$A$19,0)),"Unknown")</f>
        <v>Central</v>
      </c>
      <c r="M30" t="s">
        <v>211</v>
      </c>
    </row>
    <row r="31" spans="1:13" ht="14.4" x14ac:dyDescent="0.3">
      <c r="A31" t="s">
        <v>164</v>
      </c>
      <c r="B31" t="s">
        <v>57</v>
      </c>
      <c r="C31" t="s">
        <v>91</v>
      </c>
      <c r="D31" t="s">
        <v>48</v>
      </c>
      <c r="E31" s="6">
        <v>46251</v>
      </c>
      <c r="F31">
        <v>41</v>
      </c>
      <c r="G31">
        <v>4.7</v>
      </c>
      <c r="H31" s="11">
        <v>1227.74</v>
      </c>
      <c r="I31" t="s">
        <v>86</v>
      </c>
      <c r="J31" t="str">
        <f ca="1">IFERROR(_xludf.xlookup(B31,Restaurants!$A$5:$A$19,Restaurants!$B$5:$B$19),"Unknown")</f>
        <v>Unknown</v>
      </c>
      <c r="K31" t="str">
        <f ca="1">IFERROR(_xludf.xlookup(B31,Restaurants!$A$5:$A$19,Restaurants!$D$5:$D$19),"Unknown")</f>
        <v>Unknown</v>
      </c>
      <c r="L31" t="str">
        <f>IFERROR(INDEX(Restaurants!$C$5:$C$19,MATCH(B31,Restaurants!$A$5:$A$19,0)),"Unknown")</f>
        <v>East</v>
      </c>
      <c r="M31" t="s">
        <v>211</v>
      </c>
    </row>
    <row r="32" spans="1:13" ht="14.4" x14ac:dyDescent="0.3">
      <c r="A32" t="s">
        <v>165</v>
      </c>
      <c r="B32" t="s">
        <v>50</v>
      </c>
      <c r="C32" t="s">
        <v>85</v>
      </c>
      <c r="D32" t="s">
        <v>52</v>
      </c>
      <c r="E32" s="6">
        <v>46278</v>
      </c>
      <c r="F32">
        <v>43</v>
      </c>
      <c r="G32">
        <v>4.0999999999999996</v>
      </c>
      <c r="H32" s="11">
        <v>707.88</v>
      </c>
      <c r="I32" t="s">
        <v>86</v>
      </c>
      <c r="J32" t="str">
        <f ca="1">IFERROR(_xludf.xlookup(B32,Restaurants!$A$5:$A$19,Restaurants!$B$5:$B$19),"Unknown")</f>
        <v>Unknown</v>
      </c>
      <c r="K32" t="str">
        <f ca="1">IFERROR(_xludf.xlookup(B32,Restaurants!$A$5:$A$19,Restaurants!$D$5:$D$19),"Unknown")</f>
        <v>Unknown</v>
      </c>
      <c r="L32" t="str">
        <f>IFERROR(INDEX(Restaurants!$C$5:$C$19,MATCH(B32,Restaurants!$A$5:$A$19,0)),"Unknown")</f>
        <v>North</v>
      </c>
      <c r="M32" t="s">
        <v>211</v>
      </c>
    </row>
    <row r="33" spans="1:13" ht="14.4" x14ac:dyDescent="0.3">
      <c r="A33" t="s">
        <v>169</v>
      </c>
      <c r="B33" t="s">
        <v>65</v>
      </c>
      <c r="C33" t="s">
        <v>97</v>
      </c>
      <c r="D33" t="s">
        <v>41</v>
      </c>
      <c r="E33" s="6">
        <v>46259</v>
      </c>
      <c r="F33">
        <v>39</v>
      </c>
      <c r="G33">
        <v>4.7</v>
      </c>
      <c r="H33" s="11">
        <v>1351.13</v>
      </c>
      <c r="I33" t="s">
        <v>86</v>
      </c>
      <c r="J33" t="str">
        <f ca="1">IFERROR(_xludf.xlookup(B33,Restaurants!$A$5:$A$19,Restaurants!$B$5:$B$19),"Unknown")</f>
        <v>Unknown</v>
      </c>
      <c r="K33" t="str">
        <f ca="1">IFERROR(_xludf.xlookup(B33,Restaurants!$A$5:$A$19,Restaurants!$D$5:$D$19),"Unknown")</f>
        <v>Unknown</v>
      </c>
      <c r="L33" t="str">
        <f>IFERROR(INDEX(Restaurants!$C$5:$C$19,MATCH(B33,Restaurants!$A$5:$A$19,0)),"Unknown")</f>
        <v>West</v>
      </c>
      <c r="M33" t="s">
        <v>211</v>
      </c>
    </row>
    <row r="34" spans="1:13" ht="14.4" x14ac:dyDescent="0.3">
      <c r="A34" t="s">
        <v>170</v>
      </c>
      <c r="B34" t="s">
        <v>67</v>
      </c>
      <c r="C34" t="s">
        <v>89</v>
      </c>
      <c r="D34" t="s">
        <v>45</v>
      </c>
      <c r="E34" s="6">
        <v>46263</v>
      </c>
      <c r="F34">
        <v>19</v>
      </c>
      <c r="G34">
        <v>4.5</v>
      </c>
      <c r="H34" s="11">
        <v>1241.8</v>
      </c>
      <c r="I34" t="s">
        <v>86</v>
      </c>
      <c r="J34" t="str">
        <f ca="1">IFERROR(_xludf.xlookup(B34,Restaurants!$A$5:$A$19,Restaurants!$B$5:$B$19),"Unknown")</f>
        <v>Unknown</v>
      </c>
      <c r="K34" t="str">
        <f ca="1">IFERROR(_xludf.xlookup(B34,Restaurants!$A$5:$A$19,Restaurants!$D$5:$D$19),"Unknown")</f>
        <v>Unknown</v>
      </c>
      <c r="L34" t="str">
        <f>IFERROR(INDEX(Restaurants!$C$5:$C$19,MATCH(B34,Restaurants!$A$5:$A$19,0)),"Unknown")</f>
        <v>South</v>
      </c>
      <c r="M34" t="s">
        <v>211</v>
      </c>
    </row>
    <row r="35" spans="1:13" ht="14.4" x14ac:dyDescent="0.3">
      <c r="A35" t="s">
        <v>172</v>
      </c>
      <c r="B35" t="s">
        <v>69</v>
      </c>
      <c r="C35" t="s">
        <v>91</v>
      </c>
      <c r="D35" t="s">
        <v>52</v>
      </c>
      <c r="E35" s="6">
        <v>46227</v>
      </c>
      <c r="F35">
        <v>25</v>
      </c>
      <c r="G35">
        <v>4.0999999999999996</v>
      </c>
      <c r="H35" s="11">
        <v>953.27</v>
      </c>
      <c r="I35" t="s">
        <v>86</v>
      </c>
      <c r="J35" t="str">
        <f ca="1">IFERROR(_xludf.xlookup(B35,Restaurants!$A$5:$A$19,Restaurants!$B$5:$B$19),"Unknown")</f>
        <v>Unknown</v>
      </c>
      <c r="K35" t="str">
        <f ca="1">IFERROR(_xludf.xlookup(B35,Restaurants!$A$5:$A$19,Restaurants!$D$5:$D$19),"Unknown")</f>
        <v>Unknown</v>
      </c>
      <c r="L35" t="str">
        <f>IFERROR(INDEX(Restaurants!$C$5:$C$19,MATCH(B35,Restaurants!$A$5:$A$19,0)),"Unknown")</f>
        <v>North</v>
      </c>
      <c r="M35" t="s">
        <v>211</v>
      </c>
    </row>
    <row r="36" spans="1:13" ht="14.4" x14ac:dyDescent="0.3">
      <c r="A36" t="s">
        <v>176</v>
      </c>
      <c r="B36" t="s">
        <v>57</v>
      </c>
      <c r="C36" t="s">
        <v>91</v>
      </c>
      <c r="D36" t="s">
        <v>48</v>
      </c>
      <c r="E36" s="6">
        <v>46243</v>
      </c>
      <c r="F36">
        <v>34</v>
      </c>
      <c r="G36">
        <v>4.4000000000000004</v>
      </c>
      <c r="H36" s="11">
        <v>879.11</v>
      </c>
      <c r="I36" t="s">
        <v>86</v>
      </c>
      <c r="J36" t="str">
        <f ca="1">IFERROR(_xludf.xlookup(B36,Restaurants!$A$5:$A$19,Restaurants!$B$5:$B$19),"Unknown")</f>
        <v>Unknown</v>
      </c>
      <c r="K36" t="str">
        <f ca="1">IFERROR(_xludf.xlookup(B36,Restaurants!$A$5:$A$19,Restaurants!$D$5:$D$19),"Unknown")</f>
        <v>Unknown</v>
      </c>
      <c r="L36" t="str">
        <f>IFERROR(INDEX(Restaurants!$C$5:$C$19,MATCH(B36,Restaurants!$A$5:$A$19,0)),"Unknown")</f>
        <v>East</v>
      </c>
      <c r="M36" t="s">
        <v>211</v>
      </c>
    </row>
    <row r="37" spans="1:13" ht="14.4" x14ac:dyDescent="0.3">
      <c r="A37" t="s">
        <v>177</v>
      </c>
      <c r="B37" t="s">
        <v>67</v>
      </c>
      <c r="C37" t="s">
        <v>97</v>
      </c>
      <c r="D37" t="s">
        <v>45</v>
      </c>
      <c r="E37" s="6">
        <v>46228</v>
      </c>
      <c r="F37">
        <v>36</v>
      </c>
      <c r="G37">
        <v>4.7</v>
      </c>
      <c r="H37" s="11">
        <v>865.3</v>
      </c>
      <c r="I37" t="s">
        <v>86</v>
      </c>
      <c r="J37" t="str">
        <f ca="1">IFERROR(_xludf.xlookup(B37,Restaurants!$A$5:$A$19,Restaurants!$B$5:$B$19),"Unknown")</f>
        <v>Unknown</v>
      </c>
      <c r="K37" t="str">
        <f ca="1">IFERROR(_xludf.xlookup(B37,Restaurants!$A$5:$A$19,Restaurants!$D$5:$D$19),"Unknown")</f>
        <v>Unknown</v>
      </c>
      <c r="L37" t="str">
        <f>IFERROR(INDEX(Restaurants!$C$5:$C$19,MATCH(B37,Restaurants!$A$5:$A$19,0)),"Unknown")</f>
        <v>South</v>
      </c>
      <c r="M37" t="s">
        <v>211</v>
      </c>
    </row>
    <row r="38" spans="1:13" ht="14.4" x14ac:dyDescent="0.3">
      <c r="A38" t="s">
        <v>180</v>
      </c>
      <c r="B38" t="s">
        <v>35</v>
      </c>
      <c r="C38" t="s">
        <v>91</v>
      </c>
      <c r="D38" t="s">
        <v>37</v>
      </c>
      <c r="E38" s="6">
        <v>46264</v>
      </c>
      <c r="F38">
        <v>25</v>
      </c>
      <c r="G38">
        <v>4.2</v>
      </c>
      <c r="H38" s="11">
        <v>1279.92</v>
      </c>
      <c r="I38" t="s">
        <v>86</v>
      </c>
      <c r="J38" t="str">
        <f ca="1">IFERROR(_xludf.xlookup(B38,Restaurants!$A$5:$A$19,Restaurants!$B$5:$B$19),"Unknown")</f>
        <v>Unknown</v>
      </c>
      <c r="K38" t="str">
        <f ca="1">IFERROR(_xludf.xlookup(B38,Restaurants!$A$5:$A$19,Restaurants!$D$5:$D$19),"Unknown")</f>
        <v>Unknown</v>
      </c>
      <c r="L38" t="str">
        <f>IFERROR(INDEX(Restaurants!$C$5:$C$19,MATCH(B38,Restaurants!$A$5:$A$19,0)),"Unknown")</f>
        <v>Central</v>
      </c>
      <c r="M38" t="s">
        <v>211</v>
      </c>
    </row>
    <row r="39" spans="1:13" ht="14.4" x14ac:dyDescent="0.3">
      <c r="A39" t="s">
        <v>181</v>
      </c>
      <c r="B39" t="s">
        <v>39</v>
      </c>
      <c r="C39" t="s">
        <v>85</v>
      </c>
      <c r="D39" t="s">
        <v>41</v>
      </c>
      <c r="E39" s="6">
        <v>46255</v>
      </c>
      <c r="F39">
        <v>21</v>
      </c>
      <c r="G39">
        <v>4.0999999999999996</v>
      </c>
      <c r="H39" s="11">
        <v>1217.7</v>
      </c>
      <c r="I39" t="s">
        <v>86</v>
      </c>
      <c r="J39" t="str">
        <f ca="1">IFERROR(_xludf.xlookup(B39,Restaurants!$A$5:$A$19,Restaurants!$B$5:$B$19),"Unknown")</f>
        <v>Unknown</v>
      </c>
      <c r="K39" t="str">
        <f ca="1">IFERROR(_xludf.xlookup(B39,Restaurants!$A$5:$A$19,Restaurants!$D$5:$D$19),"Unknown")</f>
        <v>Unknown</v>
      </c>
      <c r="L39" t="str">
        <f>IFERROR(INDEX(Restaurants!$C$5:$C$19,MATCH(B39,Restaurants!$A$5:$A$19,0)),"Unknown")</f>
        <v>West</v>
      </c>
      <c r="M39" t="s">
        <v>211</v>
      </c>
    </row>
    <row r="40" spans="1:13" ht="14.4" x14ac:dyDescent="0.3">
      <c r="A40" t="s">
        <v>186</v>
      </c>
      <c r="B40" t="s">
        <v>57</v>
      </c>
      <c r="C40" t="s">
        <v>85</v>
      </c>
      <c r="D40" t="s">
        <v>48</v>
      </c>
      <c r="E40" s="6">
        <v>46291</v>
      </c>
      <c r="F40">
        <v>35</v>
      </c>
      <c r="G40">
        <v>4.5</v>
      </c>
      <c r="H40" s="11">
        <v>1208.8</v>
      </c>
      <c r="I40" t="s">
        <v>86</v>
      </c>
      <c r="J40" t="str">
        <f ca="1">IFERROR(_xludf.xlookup(B40,Restaurants!$A$5:$A$19,Restaurants!$B$5:$B$19),"Unknown")</f>
        <v>Unknown</v>
      </c>
      <c r="K40" t="str">
        <f ca="1">IFERROR(_xludf.xlookup(B40,Restaurants!$A$5:$A$19,Restaurants!$D$5:$D$19),"Unknown")</f>
        <v>Unknown</v>
      </c>
      <c r="L40" t="str">
        <f>IFERROR(INDEX(Restaurants!$C$5:$C$19,MATCH(B40,Restaurants!$A$5:$A$19,0)),"Unknown")</f>
        <v>East</v>
      </c>
      <c r="M40" t="s">
        <v>211</v>
      </c>
    </row>
    <row r="41" spans="1:13" ht="14.4" x14ac:dyDescent="0.3">
      <c r="A41" t="s">
        <v>189</v>
      </c>
      <c r="B41" t="s">
        <v>65</v>
      </c>
      <c r="C41" t="s">
        <v>89</v>
      </c>
      <c r="D41" t="s">
        <v>41</v>
      </c>
      <c r="E41" s="6">
        <v>46238</v>
      </c>
      <c r="F41">
        <v>41</v>
      </c>
      <c r="G41">
        <v>4.0999999999999996</v>
      </c>
      <c r="H41" s="11">
        <v>1123.48</v>
      </c>
      <c r="I41" t="s">
        <v>86</v>
      </c>
      <c r="J41" t="str">
        <f ca="1">IFERROR(_xludf.xlookup(B41,Restaurants!$A$5:$A$19,Restaurants!$B$5:$B$19),"Unknown")</f>
        <v>Unknown</v>
      </c>
      <c r="K41" t="str">
        <f ca="1">IFERROR(_xludf.xlookup(B41,Restaurants!$A$5:$A$19,Restaurants!$D$5:$D$19),"Unknown")</f>
        <v>Unknown</v>
      </c>
      <c r="L41" t="str">
        <f>IFERROR(INDEX(Restaurants!$C$5:$C$19,MATCH(B41,Restaurants!$A$5:$A$19,0)),"Unknown")</f>
        <v>West</v>
      </c>
      <c r="M41" t="s">
        <v>211</v>
      </c>
    </row>
    <row r="42" spans="1:13" ht="14.4" x14ac:dyDescent="0.3">
      <c r="A42" t="s">
        <v>191</v>
      </c>
      <c r="B42" t="s">
        <v>67</v>
      </c>
      <c r="C42" t="s">
        <v>91</v>
      </c>
      <c r="D42" t="s">
        <v>45</v>
      </c>
      <c r="E42" s="6">
        <v>46277</v>
      </c>
      <c r="F42">
        <v>50</v>
      </c>
      <c r="G42">
        <v>4</v>
      </c>
      <c r="H42" s="11">
        <v>1346.77</v>
      </c>
      <c r="I42" t="s">
        <v>86</v>
      </c>
      <c r="J42" t="str">
        <f ca="1">IFERROR(_xludf.xlookup(B42,Restaurants!$A$5:$A$19,Restaurants!$B$5:$B$19),"Unknown")</f>
        <v>Unknown</v>
      </c>
      <c r="K42" t="str">
        <f ca="1">IFERROR(_xludf.xlookup(B42,Restaurants!$A$5:$A$19,Restaurants!$D$5:$D$19),"Unknown")</f>
        <v>Unknown</v>
      </c>
      <c r="L42" t="str">
        <f>IFERROR(INDEX(Restaurants!$C$5:$C$19,MATCH(B42,Restaurants!$A$5:$A$19,0)),"Unknown")</f>
        <v>South</v>
      </c>
      <c r="M42" t="s">
        <v>211</v>
      </c>
    </row>
    <row r="43" spans="1:13" ht="14.4" x14ac:dyDescent="0.3">
      <c r="A43" t="s">
        <v>193</v>
      </c>
      <c r="B43" t="s">
        <v>39</v>
      </c>
      <c r="C43" t="s">
        <v>97</v>
      </c>
      <c r="D43" t="s">
        <v>41</v>
      </c>
      <c r="E43" s="6">
        <v>46246</v>
      </c>
      <c r="F43">
        <v>24</v>
      </c>
      <c r="G43">
        <v>4.4000000000000004</v>
      </c>
      <c r="H43" s="11">
        <v>1155.4100000000001</v>
      </c>
      <c r="I43" t="s">
        <v>86</v>
      </c>
      <c r="J43" t="str">
        <f ca="1">IFERROR(_xludf.xlookup(B43,Restaurants!$A$5:$A$19,Restaurants!$B$5:$B$19),"Unknown")</f>
        <v>Unknown</v>
      </c>
      <c r="K43" t="str">
        <f ca="1">IFERROR(_xludf.xlookup(B43,Restaurants!$A$5:$A$19,Restaurants!$D$5:$D$19),"Unknown")</f>
        <v>Unknown</v>
      </c>
      <c r="L43" t="str">
        <f>IFERROR(INDEX(Restaurants!$C$5:$C$19,MATCH(B43,Restaurants!$A$5:$A$19,0)),"Unknown")</f>
        <v>West</v>
      </c>
      <c r="M43" t="s">
        <v>211</v>
      </c>
    </row>
    <row r="44" spans="1:13" ht="14.4" x14ac:dyDescent="0.3">
      <c r="A44" t="s">
        <v>194</v>
      </c>
      <c r="B44" t="s">
        <v>35</v>
      </c>
      <c r="C44" t="s">
        <v>89</v>
      </c>
      <c r="D44" t="s">
        <v>37</v>
      </c>
      <c r="E44" s="6">
        <v>46215</v>
      </c>
      <c r="F44">
        <v>31</v>
      </c>
      <c r="G44">
        <v>4.5</v>
      </c>
      <c r="H44" s="11">
        <v>852.95</v>
      </c>
      <c r="I44" t="s">
        <v>86</v>
      </c>
      <c r="J44" t="str">
        <f ca="1">IFERROR(_xludf.xlookup(B44,Restaurants!$A$5:$A$19,Restaurants!$B$5:$B$19),"Unknown")</f>
        <v>Unknown</v>
      </c>
      <c r="K44" t="str">
        <f ca="1">IFERROR(_xludf.xlookup(B44,Restaurants!$A$5:$A$19,Restaurants!$D$5:$D$19),"Unknown")</f>
        <v>Unknown</v>
      </c>
      <c r="L44" t="str">
        <f>IFERROR(INDEX(Restaurants!$C$5:$C$19,MATCH(B44,Restaurants!$A$5:$A$19,0)),"Unknown")</f>
        <v>Central</v>
      </c>
      <c r="M44" t="s">
        <v>211</v>
      </c>
    </row>
    <row r="45" spans="1:13" ht="14.4" x14ac:dyDescent="0.3">
      <c r="A45" t="s">
        <v>195</v>
      </c>
      <c r="B45" t="s">
        <v>35</v>
      </c>
      <c r="C45" t="s">
        <v>89</v>
      </c>
      <c r="D45" t="s">
        <v>37</v>
      </c>
      <c r="E45" s="6">
        <v>46256</v>
      </c>
      <c r="F45">
        <v>45</v>
      </c>
      <c r="G45">
        <v>4.2</v>
      </c>
      <c r="H45" s="11">
        <v>763.71</v>
      </c>
      <c r="I45" t="s">
        <v>86</v>
      </c>
      <c r="J45" t="str">
        <f ca="1">IFERROR(_xludf.xlookup(B45,Restaurants!$A$5:$A$19,Restaurants!$B$5:$B$19),"Unknown")</f>
        <v>Unknown</v>
      </c>
      <c r="K45" t="str">
        <f ca="1">IFERROR(_xludf.xlookup(B45,Restaurants!$A$5:$A$19,Restaurants!$D$5:$D$19),"Unknown")</f>
        <v>Unknown</v>
      </c>
      <c r="L45" t="str">
        <f>IFERROR(INDEX(Restaurants!$C$5:$C$19,MATCH(B45,Restaurants!$A$5:$A$19,0)),"Unknown")</f>
        <v>Central</v>
      </c>
      <c r="M45" t="s">
        <v>211</v>
      </c>
    </row>
    <row r="46" spans="1:13" ht="14.4" x14ac:dyDescent="0.3">
      <c r="A46" t="s">
        <v>197</v>
      </c>
      <c r="B46" t="s">
        <v>63</v>
      </c>
      <c r="C46" t="s">
        <v>97</v>
      </c>
      <c r="D46" t="s">
        <v>37</v>
      </c>
      <c r="E46" s="6">
        <v>46294</v>
      </c>
      <c r="F46">
        <v>41</v>
      </c>
      <c r="G46">
        <v>4.7</v>
      </c>
      <c r="H46" s="11">
        <v>1440.48</v>
      </c>
      <c r="I46" t="s">
        <v>86</v>
      </c>
      <c r="J46" t="str">
        <f ca="1">IFERROR(_xludf.xlookup(B46,Restaurants!$A$5:$A$19,Restaurants!$B$5:$B$19),"Unknown")</f>
        <v>Unknown</v>
      </c>
      <c r="K46" t="str">
        <f ca="1">IFERROR(_xludf.xlookup(B46,Restaurants!$A$5:$A$19,Restaurants!$D$5:$D$19),"Unknown")</f>
        <v>Unknown</v>
      </c>
      <c r="L46" t="str">
        <f>IFERROR(INDEX(Restaurants!$C$5:$C$19,MATCH(B46,Restaurants!$A$5:$A$19,0)),"Unknown")</f>
        <v>Central</v>
      </c>
      <c r="M46" t="s">
        <v>211</v>
      </c>
    </row>
    <row r="47" spans="1:13" ht="14.4" x14ac:dyDescent="0.3">
      <c r="A47" t="s">
        <v>200</v>
      </c>
      <c r="B47" t="s">
        <v>71</v>
      </c>
      <c r="C47" t="s">
        <v>97</v>
      </c>
      <c r="D47" t="s">
        <v>48</v>
      </c>
      <c r="E47" s="6">
        <v>46212</v>
      </c>
      <c r="F47">
        <v>31</v>
      </c>
      <c r="G47">
        <v>5</v>
      </c>
      <c r="H47" s="11">
        <v>844.52</v>
      </c>
      <c r="I47" t="s">
        <v>86</v>
      </c>
      <c r="J47" t="str">
        <f ca="1">IFERROR(_xludf.xlookup(B47,Restaurants!$A$5:$A$19,Restaurants!$B$5:$B$19),"Unknown")</f>
        <v>Unknown</v>
      </c>
      <c r="K47" t="str">
        <f ca="1">IFERROR(_xludf.xlookup(B47,Restaurants!$A$5:$A$19,Restaurants!$D$5:$D$19),"Unknown")</f>
        <v>Unknown</v>
      </c>
      <c r="L47" t="str">
        <f>IFERROR(INDEX(Restaurants!$C$5:$C$19,MATCH(B47,Restaurants!$A$5:$A$19,0)),"Unknown")</f>
        <v>East</v>
      </c>
      <c r="M47" t="s">
        <v>211</v>
      </c>
    </row>
    <row r="48" spans="1:13" ht="14.4" x14ac:dyDescent="0.3">
      <c r="A48" t="s">
        <v>202</v>
      </c>
      <c r="B48" t="s">
        <v>57</v>
      </c>
      <c r="C48" t="s">
        <v>89</v>
      </c>
      <c r="D48" t="s">
        <v>48</v>
      </c>
      <c r="E48" s="6">
        <v>46248</v>
      </c>
      <c r="F48">
        <v>26</v>
      </c>
      <c r="G48">
        <v>4.9000000000000004</v>
      </c>
      <c r="H48" s="11">
        <v>1289.6099999999999</v>
      </c>
      <c r="I48" t="s">
        <v>86</v>
      </c>
      <c r="J48" t="str">
        <f ca="1">IFERROR(_xludf.xlookup(B48,Restaurants!$A$5:$A$19,Restaurants!$B$5:$B$19),"Unknown")</f>
        <v>Unknown</v>
      </c>
      <c r="K48" t="str">
        <f ca="1">IFERROR(_xludf.xlookup(B48,Restaurants!$A$5:$A$19,Restaurants!$D$5:$D$19),"Unknown")</f>
        <v>Unknown</v>
      </c>
      <c r="L48" t="str">
        <f>IFERROR(INDEX(Restaurants!$C$5:$C$19,MATCH(B48,Restaurants!$A$5:$A$19,0)),"Unknown")</f>
        <v>East</v>
      </c>
      <c r="M48" t="s">
        <v>211</v>
      </c>
    </row>
    <row r="49" spans="1:13" ht="14.4" x14ac:dyDescent="0.3">
      <c r="A49" t="s">
        <v>203</v>
      </c>
      <c r="B49" t="s">
        <v>65</v>
      </c>
      <c r="C49" t="s">
        <v>97</v>
      </c>
      <c r="D49" t="s">
        <v>41</v>
      </c>
      <c r="E49" s="6">
        <v>46277</v>
      </c>
      <c r="F49">
        <v>19</v>
      </c>
      <c r="G49">
        <v>4.8</v>
      </c>
      <c r="H49" s="11">
        <v>801.76</v>
      </c>
      <c r="I49" t="s">
        <v>86</v>
      </c>
      <c r="J49" t="str">
        <f ca="1">IFERROR(_xludf.xlookup(B49,Restaurants!$A$5:$A$19,Restaurants!$B$5:$B$19),"Unknown")</f>
        <v>Unknown</v>
      </c>
      <c r="K49" t="str">
        <f ca="1">IFERROR(_xludf.xlookup(B49,Restaurants!$A$5:$A$19,Restaurants!$D$5:$D$19),"Unknown")</f>
        <v>Unknown</v>
      </c>
      <c r="L49" t="str">
        <f>IFERROR(INDEX(Restaurants!$C$5:$C$19,MATCH(B49,Restaurants!$A$5:$A$19,0)),"Unknown")</f>
        <v>West</v>
      </c>
      <c r="M49" t="s">
        <v>211</v>
      </c>
    </row>
    <row r="50" spans="1:13" ht="14.4" x14ac:dyDescent="0.3">
      <c r="A50" t="s">
        <v>206</v>
      </c>
      <c r="B50" t="s">
        <v>55</v>
      </c>
      <c r="C50" t="s">
        <v>97</v>
      </c>
      <c r="D50" t="s">
        <v>37</v>
      </c>
      <c r="E50" s="6">
        <v>46213</v>
      </c>
      <c r="F50">
        <v>12</v>
      </c>
      <c r="G50">
        <v>4.4000000000000004</v>
      </c>
      <c r="H50" s="11">
        <v>1019.3</v>
      </c>
      <c r="I50" t="s">
        <v>86</v>
      </c>
      <c r="J50" t="str">
        <f ca="1">IFERROR(_xludf.xlookup(B50,Restaurants!$A$5:$A$19,Restaurants!$B$5:$B$19),"Unknown")</f>
        <v>Unknown</v>
      </c>
      <c r="K50" t="str">
        <f ca="1">IFERROR(_xludf.xlookup(B50,Restaurants!$A$5:$A$19,Restaurants!$D$5:$D$19),"Unknown")</f>
        <v>Unknown</v>
      </c>
      <c r="L50" t="str">
        <f>IFERROR(INDEX(Restaurants!$C$5:$C$19,MATCH(B50,Restaurants!$A$5:$A$19,0)),"Unknown")</f>
        <v>Central</v>
      </c>
      <c r="M50" t="s">
        <v>211</v>
      </c>
    </row>
    <row r="51" spans="1:13" ht="14.4" x14ac:dyDescent="0.3">
      <c r="A51" t="s">
        <v>208</v>
      </c>
      <c r="B51" t="s">
        <v>69</v>
      </c>
      <c r="C51" t="s">
        <v>85</v>
      </c>
      <c r="D51" t="s">
        <v>52</v>
      </c>
      <c r="E51" s="6">
        <v>46283</v>
      </c>
      <c r="F51">
        <v>47</v>
      </c>
      <c r="G51">
        <v>4.2</v>
      </c>
      <c r="H51" s="11">
        <v>1138.52</v>
      </c>
      <c r="I51" t="s">
        <v>86</v>
      </c>
      <c r="J51" t="str">
        <f ca="1">IFERROR(_xludf.xlookup(B51,Restaurants!$A$5:$A$19,Restaurants!$B$5:$B$19),"Unknown")</f>
        <v>Unknown</v>
      </c>
      <c r="K51" t="str">
        <f ca="1">IFERROR(_xludf.xlookup(B51,Restaurants!$A$5:$A$19,Restaurants!$D$5:$D$19),"Unknown")</f>
        <v>Unknown</v>
      </c>
      <c r="L51" t="str">
        <f>IFERROR(INDEX(Restaurants!$C$5:$C$19,MATCH(B51,Restaurants!$A$5:$A$19,0)),"Unknown")</f>
        <v>North</v>
      </c>
      <c r="M51" t="s">
        <v>211</v>
      </c>
    </row>
    <row r="52" spans="1:13" ht="14.4" x14ac:dyDescent="0.3">
      <c r="A52" t="s">
        <v>210</v>
      </c>
      <c r="B52" t="s">
        <v>53</v>
      </c>
      <c r="C52" t="s">
        <v>85</v>
      </c>
      <c r="D52" t="s">
        <v>41</v>
      </c>
      <c r="E52" s="6">
        <v>46241</v>
      </c>
      <c r="F52">
        <v>27</v>
      </c>
      <c r="G52">
        <v>4.5999999999999996</v>
      </c>
      <c r="H52" s="11">
        <v>1058.6099999999999</v>
      </c>
      <c r="I52" t="s">
        <v>86</v>
      </c>
      <c r="J52" t="str">
        <f ca="1">IFERROR(_xludf.xlookup(B52,Restaurants!$A$5:$A$19,Restaurants!$B$5:$B$19),"Unknown")</f>
        <v>Unknown</v>
      </c>
      <c r="K52" t="str">
        <f ca="1">IFERROR(_xludf.xlookup(B52,Restaurants!$A$5:$A$19,Restaurants!$D$5:$D$19),"Unknown")</f>
        <v>Unknown</v>
      </c>
      <c r="L52" t="str">
        <f>IFERROR(INDEX(Restaurants!$C$5:$C$19,MATCH(B52,Restaurants!$A$5:$A$19,0)),"Unknown")</f>
        <v>West</v>
      </c>
      <c r="M52" t="s">
        <v>211</v>
      </c>
    </row>
  </sheetData>
  <autoFilter ref="A4:M52"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
  <sheetViews>
    <sheetView topLeftCell="A3" zoomScaleNormal="100" workbookViewId="0">
      <selection activeCell="B14" sqref="B14"/>
    </sheetView>
  </sheetViews>
  <sheetFormatPr defaultColWidth="8.6640625" defaultRowHeight="15" customHeight="1" x14ac:dyDescent="0.3"/>
  <cols>
    <col min="1" max="1" width="28" customWidth="1"/>
    <col min="2" max="2" width="60" customWidth="1"/>
    <col min="3" max="6" width="10" customWidth="1"/>
  </cols>
  <sheetData>
    <row r="1" spans="1:6" ht="27.75" customHeight="1" x14ac:dyDescent="0.3">
      <c r="A1" s="18" t="s">
        <v>212</v>
      </c>
      <c r="B1" s="18"/>
      <c r="C1" s="18"/>
      <c r="D1" s="18"/>
      <c r="E1" s="18"/>
      <c r="F1" s="18"/>
    </row>
    <row r="2" spans="1:6" ht="30" customHeight="1" x14ac:dyDescent="0.3">
      <c r="A2" s="19" t="s">
        <v>213</v>
      </c>
      <c r="B2" s="19"/>
      <c r="C2" s="19"/>
      <c r="D2" s="19"/>
      <c r="E2" s="19"/>
      <c r="F2" s="19"/>
    </row>
    <row r="4" spans="1:6" ht="14.4" x14ac:dyDescent="0.3">
      <c r="A4" s="4" t="s">
        <v>214</v>
      </c>
      <c r="B4" s="4" t="s">
        <v>215</v>
      </c>
      <c r="C4" s="4"/>
      <c r="D4" s="4"/>
      <c r="E4" s="4"/>
      <c r="F4" s="4"/>
    </row>
    <row r="5" spans="1:6" ht="14.4" x14ac:dyDescent="0.3">
      <c r="A5" t="s">
        <v>216</v>
      </c>
      <c r="B5">
        <f>AVERAGE(Orders!$F$5:$F$124)</f>
        <v>34.725000000000001</v>
      </c>
    </row>
    <row r="6" spans="1:6" ht="14.4" x14ac:dyDescent="0.3">
      <c r="A6" t="s">
        <v>217</v>
      </c>
      <c r="B6">
        <f>MEDIAN(Orders!$F$5:$F$124)</f>
        <v>34</v>
      </c>
    </row>
    <row r="7" spans="1:6" ht="14.4" x14ac:dyDescent="0.3">
      <c r="A7" t="s">
        <v>218</v>
      </c>
      <c r="B7">
        <f>_xlfn.MODE.SNGL(Orders!$F$5:$F$124)</f>
        <v>34</v>
      </c>
    </row>
    <row r="8" spans="1:6" ht="14.4" x14ac:dyDescent="0.3">
      <c r="A8" t="s">
        <v>219</v>
      </c>
      <c r="B8">
        <f>_xlfn.STDEV.S(Orders!$F$5:$F$124)</f>
        <v>12.855997848174557</v>
      </c>
    </row>
    <row r="9" spans="1:6" ht="14.4" x14ac:dyDescent="0.3">
      <c r="A9" t="s">
        <v>220</v>
      </c>
      <c r="B9">
        <f>_xlfn.VAR.S(Orders!$F$5:$F$124)</f>
        <v>165.27668067226881</v>
      </c>
    </row>
    <row r="10" spans="1:6" ht="14.4" x14ac:dyDescent="0.3">
      <c r="A10" t="s">
        <v>221</v>
      </c>
      <c r="B10">
        <f>MIN(Orders!$F$5:$F$124)</f>
        <v>12</v>
      </c>
    </row>
    <row r="11" spans="1:6" ht="14.4" x14ac:dyDescent="0.3">
      <c r="A11" t="s">
        <v>222</v>
      </c>
      <c r="B11">
        <f>MAX(Orders!$F$5:$F$124)</f>
        <v>89</v>
      </c>
    </row>
    <row r="12" spans="1:6" ht="14.4" x14ac:dyDescent="0.3">
      <c r="A12" t="s">
        <v>223</v>
      </c>
      <c r="B12">
        <f>_xlfn.QUARTILE.INC(Orders!$F$5:$F$124,1)</f>
        <v>26</v>
      </c>
    </row>
    <row r="13" spans="1:6" ht="14.4" x14ac:dyDescent="0.3">
      <c r="A13" t="s">
        <v>224</v>
      </c>
      <c r="B13">
        <f>_xlfn.QUARTILE.INC(Orders!$F$5:$F$124,3)</f>
        <v>42</v>
      </c>
    </row>
    <row r="14" spans="1:6" ht="14.4" x14ac:dyDescent="0.3">
      <c r="A14" t="s">
        <v>225</v>
      </c>
      <c r="B14">
        <f>B12-B11</f>
        <v>-63</v>
      </c>
    </row>
    <row r="15" spans="1:6" ht="14.4" x14ac:dyDescent="0.3">
      <c r="A15" t="s">
        <v>226</v>
      </c>
      <c r="B15">
        <f>B11-1.5*B13</f>
        <v>26</v>
      </c>
    </row>
    <row r="16" spans="1:6" ht="14.4" x14ac:dyDescent="0.3">
      <c r="A16" t="s">
        <v>227</v>
      </c>
      <c r="B16">
        <f>B12+1.5*B13</f>
        <v>89</v>
      </c>
    </row>
    <row r="18" spans="1:2" ht="28.8" x14ac:dyDescent="0.3">
      <c r="A18" t="s">
        <v>228</v>
      </c>
      <c r="B18" s="2" t="s">
        <v>229</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zoomScaleNormal="100" workbookViewId="0"/>
  </sheetViews>
  <sheetFormatPr defaultColWidth="8.6640625" defaultRowHeight="15" customHeight="1" x14ac:dyDescent="0.3"/>
  <sheetData>
    <row r="1" spans="1:2" x14ac:dyDescent="0.3">
      <c r="A1" t="s">
        <v>230</v>
      </c>
      <c r="B1" t="e">
        <f ca="1">_xludf.quartile.inc(Orders!$F$5:$F$124,1)</f>
        <v>#NAME?</v>
      </c>
    </row>
    <row r="2" spans="1:2" x14ac:dyDescent="0.3">
      <c r="A2" t="s">
        <v>231</v>
      </c>
      <c r="B2" t="e">
        <f ca="1">_xludf.quartile.inc(Orders!$F$5:$F$124,3)</f>
        <v>#NAME?</v>
      </c>
    </row>
    <row r="7" spans="1:2" x14ac:dyDescent="0.3">
      <c r="A7" t="s">
        <v>230</v>
      </c>
      <c r="B7" t="e">
        <f ca="1">B1</f>
        <v>#NAME?</v>
      </c>
    </row>
    <row r="8" spans="1:2" x14ac:dyDescent="0.3">
      <c r="A8" t="s">
        <v>226</v>
      </c>
      <c r="B8" t="e">
        <f ca="1">B7-1.5*(B2-B1)</f>
        <v>#NAME?</v>
      </c>
    </row>
    <row r="9" spans="1:2" x14ac:dyDescent="0.3">
      <c r="A9" t="s">
        <v>227</v>
      </c>
      <c r="B9" t="e">
        <f ca="1">B2+1.5*(B2-B1)</f>
        <v>#NAME?</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zoomScaleNormal="100" workbookViewId="0">
      <selection activeCell="J5" sqref="J5"/>
    </sheetView>
  </sheetViews>
  <sheetFormatPr defaultColWidth="8.6640625" defaultRowHeight="15" customHeight="1" x14ac:dyDescent="0.3"/>
  <cols>
    <col min="1" max="1" width="28" customWidth="1"/>
    <col min="2" max="4" width="22" customWidth="1"/>
    <col min="5" max="7" width="18" customWidth="1"/>
    <col min="8" max="8" width="25" customWidth="1"/>
  </cols>
  <sheetData>
    <row r="1" spans="1:8" ht="27.75" customHeight="1" x14ac:dyDescent="0.3">
      <c r="A1" s="18" t="s">
        <v>232</v>
      </c>
      <c r="B1" s="18"/>
      <c r="C1" s="18"/>
      <c r="D1" s="18"/>
      <c r="E1" s="18"/>
      <c r="F1" s="18"/>
      <c r="G1" s="18"/>
      <c r="H1" s="18"/>
    </row>
    <row r="2" spans="1:8" ht="30" customHeight="1" x14ac:dyDescent="0.3">
      <c r="A2" s="19" t="s">
        <v>233</v>
      </c>
      <c r="B2" s="19"/>
      <c r="C2" s="19"/>
      <c r="D2" s="19"/>
      <c r="E2" s="19"/>
      <c r="F2" s="19"/>
      <c r="G2" s="19"/>
      <c r="H2" s="19"/>
    </row>
    <row r="4" spans="1:8" ht="14.4" x14ac:dyDescent="0.3">
      <c r="A4" s="4" t="s">
        <v>32</v>
      </c>
      <c r="B4" s="4" t="s">
        <v>234</v>
      </c>
      <c r="C4" s="4" t="s">
        <v>235</v>
      </c>
      <c r="D4" s="4" t="s">
        <v>236</v>
      </c>
      <c r="E4" s="4" t="s">
        <v>237</v>
      </c>
      <c r="F4" s="4" t="s">
        <v>238</v>
      </c>
      <c r="G4" s="4" t="s">
        <v>239</v>
      </c>
      <c r="H4" s="4" t="s">
        <v>240</v>
      </c>
    </row>
    <row r="5" spans="1:8" ht="14.4" x14ac:dyDescent="0.3">
      <c r="A5" t="s">
        <v>37</v>
      </c>
      <c r="B5">
        <f>AVERAGEIF(Orders!$D$5:$D$124,A5,Orders!$F$5:$F$124)</f>
        <v>35.72</v>
      </c>
      <c r="C5">
        <f>MEDIAN(Orders!F4:'Orders'!F108:F124:'Orders'!A4:'Orders'!A108:A124)</f>
        <v>23146.5</v>
      </c>
      <c r="D5">
        <f>_xlfn.STDEV.S(Orders!F5:F124)</f>
        <v>12.855997848174557</v>
      </c>
      <c r="E5" s="11">
        <f>AVERAGEIF(Orders!$D$5:$D$124,A5,Orders!$H$5:$H$124)</f>
        <v>823.39359999999988</v>
      </c>
      <c r="F5" s="11">
        <f>MEDIAN(Orders!H105:H124)</f>
        <v>1038.9549999999999</v>
      </c>
      <c r="G5" s="11">
        <f>_xlfn.STDEV.S(Orders!H105:H124)</f>
        <v>340.77388404189628</v>
      </c>
      <c r="H5" t="str">
        <f>IF(Orders!F105&gt;MEDIAN(Orders!G105:G124),"YES","NO")</f>
        <v>YES</v>
      </c>
    </row>
    <row r="6" spans="1:8" ht="14.4" x14ac:dyDescent="0.3">
      <c r="A6" t="s">
        <v>41</v>
      </c>
      <c r="B6">
        <f>AVERAGEIF(Orders!$D$5:$D$124,A6,Orders!$F$5:$F$124)</f>
        <v>35.136363636363633</v>
      </c>
      <c r="C6">
        <f>MEDIAN(Orders!F5:'Orders'!F109:F125:'Orders'!A5:'Orders'!A109:A125)</f>
        <v>23146.5</v>
      </c>
      <c r="D6">
        <f>_xlfn.STDEV.S(Orders!F6:F125)</f>
        <v>12.910183524140013</v>
      </c>
      <c r="E6" s="11">
        <f>AVERAGEIF(Orders!$D$5:$D$124,A6,Orders!$H$5:$H$124)</f>
        <v>825.63363636363636</v>
      </c>
      <c r="F6" s="11">
        <f>MEDIAN(Orders!H106:H125)</f>
        <v>1019.3</v>
      </c>
      <c r="G6" s="11">
        <f>_xlfn.STDEV.S(Orders!H106:H125)</f>
        <v>337.30680656397351</v>
      </c>
      <c r="H6" t="str">
        <f>IF(Orders!F106&gt;MEDIAN(Orders!G106:G125),"YES","NO")</f>
        <v>YES</v>
      </c>
    </row>
    <row r="7" spans="1:8" ht="14.4" x14ac:dyDescent="0.3">
      <c r="A7" t="s">
        <v>48</v>
      </c>
      <c r="B7">
        <f>AVERAGEIF(Orders!$D$5:$D$124,A7,Orders!$F$5:$F$124)</f>
        <v>34.344827586206897</v>
      </c>
      <c r="C7">
        <f>MEDIAN(Orders!F6:'Orders'!F110:F126:'Orders'!A6:'Orders'!A110:A126)</f>
        <v>23146.5</v>
      </c>
      <c r="D7">
        <f>_xlfn.STDEV.S(Orders!F7:F126)</f>
        <v>12.962758253938498</v>
      </c>
      <c r="E7" s="11">
        <f>AVERAGEIF(Orders!$D$5:$D$124,A7,Orders!$H$5:$H$124)</f>
        <v>890.20206896551736</v>
      </c>
      <c r="F7" s="11">
        <f>MEDIAN(Orders!H107:H126)</f>
        <v>1038.9549999999999</v>
      </c>
      <c r="G7" s="11">
        <f>_xlfn.STDEV.S(Orders!H107:H126)</f>
        <v>337.59652083863813</v>
      </c>
      <c r="H7" t="str">
        <f>IF(Orders!F107&gt;MEDIAN(Orders!G107:G126),"YES","NO")</f>
        <v>YES</v>
      </c>
    </row>
    <row r="8" spans="1:8" ht="14.4" x14ac:dyDescent="0.3">
      <c r="A8" t="s">
        <v>52</v>
      </c>
      <c r="B8">
        <f>AVERAGEIF(Orders!$D$5:$D$124,A8,Orders!$F$5:$F$124)</f>
        <v>33.875</v>
      </c>
      <c r="C8">
        <f>MEDIAN(Orders!F7:'Orders'!F111:F127:'Orders'!A7:'Orders'!A111:A127)</f>
        <v>23146.5</v>
      </c>
      <c r="D8">
        <f>_xlfn.STDEV.S(Orders!F8:F127)</f>
        <v>12.992896333879575</v>
      </c>
      <c r="E8" s="11">
        <f>AVERAGEIF(Orders!$D$5:$D$124,A8,Orders!$H$5:$H$124)</f>
        <v>883.41250000000002</v>
      </c>
      <c r="F8" s="11">
        <f>MEDIAN(Orders!H108:H127)</f>
        <v>1019.3</v>
      </c>
      <c r="G8" s="11">
        <f>_xlfn.STDEV.S(Orders!H108:H127)</f>
        <v>344.19818290976207</v>
      </c>
      <c r="H8" t="str">
        <f>IF(Orders!F108&gt;MEDIAN(Orders!G108:G127),"YES","NO")</f>
        <v>YES</v>
      </c>
    </row>
    <row r="9" spans="1:8" ht="14.4" x14ac:dyDescent="0.3">
      <c r="A9" t="s">
        <v>45</v>
      </c>
      <c r="B9">
        <f>AVERAGEIF(Orders!$D$5:$D$124,A9,Orders!$F$5:$F$124)</f>
        <v>34.6</v>
      </c>
      <c r="C9">
        <f>MEDIAN(Orders!F8:'Orders'!F112:F128:'Orders'!A8:'Orders'!A112:A128)</f>
        <v>23146.5</v>
      </c>
      <c r="D9">
        <f>_xlfn.STDEV.S(Orders!F9:F128)</f>
        <v>12.990836927540926</v>
      </c>
      <c r="E9" s="11">
        <f>AVERAGEIF(Orders!$D$5:$D$124,A9,Orders!$H$5:$H$124)</f>
        <v>995.94650000000001</v>
      </c>
      <c r="F9" s="11">
        <f>MEDIAN(Orders!H109:H128)</f>
        <v>1038.9549999999999</v>
      </c>
      <c r="G9" s="11">
        <f>_xlfn.STDEV.S(Orders!H109:H128)</f>
        <v>354.64777025240102</v>
      </c>
      <c r="H9" t="str">
        <f>IF(Orders!F109&gt;MEDIAN(Orders!G109:G128),"YES","NO")</f>
        <v>YES</v>
      </c>
    </row>
  </sheetData>
  <mergeCells count="2">
    <mergeCell ref="A1:H1"/>
    <mergeCell ref="A2:H2"/>
  </mergeCells>
  <conditionalFormatting sqref="H5:H9">
    <cfRule type="cellIs" dxfId="0" priority="2" operator="equal">
      <formula>"Yes"</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6"/>
  <sheetViews>
    <sheetView topLeftCell="A5" zoomScaleNormal="100" workbookViewId="0">
      <selection activeCell="C7" sqref="C7"/>
    </sheetView>
  </sheetViews>
  <sheetFormatPr defaultColWidth="8.6640625" defaultRowHeight="15" customHeight="1" x14ac:dyDescent="0.3"/>
  <cols>
    <col min="1" max="6" width="28" customWidth="1"/>
    <col min="7" max="7" width="14" customWidth="1"/>
    <col min="8" max="12" width="10" customWidth="1"/>
  </cols>
  <sheetData>
    <row r="1" spans="1:12" ht="27.75" customHeight="1" x14ac:dyDescent="0.3"/>
    <row r="2" spans="1:12" ht="30" customHeight="1" x14ac:dyDescent="0.3"/>
    <row r="4" spans="1:12" ht="15.6" x14ac:dyDescent="0.3">
      <c r="A4" s="3" t="s">
        <v>241</v>
      </c>
    </row>
    <row r="5" spans="1:12" ht="14.4" x14ac:dyDescent="0.3">
      <c r="A5" s="4"/>
      <c r="B5" s="4" t="s">
        <v>37</v>
      </c>
      <c r="C5" s="4" t="s">
        <v>41</v>
      </c>
      <c r="D5" s="4" t="s">
        <v>48</v>
      </c>
      <c r="E5" s="4" t="s">
        <v>52</v>
      </c>
      <c r="F5" s="4" t="s">
        <v>45</v>
      </c>
      <c r="G5" s="4" t="s">
        <v>242</v>
      </c>
      <c r="H5" s="4"/>
      <c r="I5" s="4"/>
      <c r="J5" s="4"/>
      <c r="K5" s="4"/>
      <c r="L5" s="4"/>
    </row>
    <row r="6" spans="1:12" ht="14.4" x14ac:dyDescent="0.3">
      <c r="A6" t="s">
        <v>85</v>
      </c>
      <c r="B6" s="11">
        <f>SUMIFS(Orders!$H$5:$H$124,Orders!$C$5:$C$124,$A6,Orders!$D$5:$D$124,B$5)</f>
        <v>6086.72</v>
      </c>
      <c r="C6" s="11">
        <f>SUMIFS(Orders!$H$5:$H$124,Orders!$C$5:$C$124,$A6,Orders!$D$5:$D$124,C$5)</f>
        <v>6002.32</v>
      </c>
      <c r="D6" s="11">
        <f>SUMIFS(Orders!$H$5:$H$124,Orders!$C$5:$C$124,$A6,Orders!$D$5:$D$124,D$5)</f>
        <v>5488.74</v>
      </c>
      <c r="E6" s="11">
        <f>SUMIFS(Orders!$H$5:$H$124,Orders!$C$5:$C$124,$A6,Orders!$D$5:$D$124,E$5)</f>
        <v>7021.630000000001</v>
      </c>
      <c r="F6" s="11">
        <f>SUMIFS(Orders!$H$5:$H$124,Orders!$C$5:$C$124,$A6,Orders!$D$5:$D$124,F$5)</f>
        <v>4731.0599999999995</v>
      </c>
      <c r="G6" s="11">
        <f>SUM(B6:F6)</f>
        <v>29330.47</v>
      </c>
    </row>
    <row r="7" spans="1:12" ht="14.4" x14ac:dyDescent="0.3">
      <c r="A7" t="s">
        <v>97</v>
      </c>
      <c r="B7" s="11">
        <f>SUMIFS(Orders!$H$5:$H$124,Orders!$C$5:$C$124,$A7,Orders!$D$5:$D$124,B$5)</f>
        <v>3714.75</v>
      </c>
      <c r="C7" s="11">
        <f>SUMIFS(Orders!$H$5:$H$124,Orders!$C$5:$C$124,$A7,Orders!$D$5:$D$124,C$5)</f>
        <v>4128.09</v>
      </c>
      <c r="D7" s="11">
        <f>SUMIFS(Orders!$H$5:$H$124,Orders!$C$5:$C$124,$A7,Orders!$D$5:$D$124,D$5)</f>
        <v>8908.01</v>
      </c>
      <c r="E7" s="11">
        <f>SUMIFS(Orders!$H$5:$H$124,Orders!$C$5:$C$124,$A7,Orders!$D$5:$D$124,E$5)</f>
        <v>5985.56</v>
      </c>
      <c r="F7" s="11">
        <f>SUMIFS(Orders!$H$5:$H$124,Orders!$C$5:$C$124,$A7,Orders!$D$5:$D$124,F$5)</f>
        <v>4194.9400000000005</v>
      </c>
      <c r="G7" s="11">
        <f>SUM(B7:F7)</f>
        <v>26931.35</v>
      </c>
    </row>
    <row r="8" spans="1:12" ht="14.4" x14ac:dyDescent="0.3">
      <c r="A8" t="s">
        <v>91</v>
      </c>
      <c r="B8" s="11">
        <f>SUMIFS(Orders!$H$5:$H$124,Orders!$C$5:$C$124,$A8,Orders!$D$5:$D$124,B$5)</f>
        <v>4015.67</v>
      </c>
      <c r="C8" s="11">
        <f>SUMIFS(Orders!$H$5:$H$124,Orders!$C$5:$C$124,$A8,Orders!$D$5:$D$124,C$5)</f>
        <v>4173.82</v>
      </c>
      <c r="D8" s="11">
        <f>SUMIFS(Orders!$H$5:$H$124,Orders!$C$5:$C$124,$A8,Orders!$D$5:$D$124,D$5)</f>
        <v>7419.8499999999995</v>
      </c>
      <c r="E8" s="11">
        <f>SUMIFS(Orders!$H$5:$H$124,Orders!$C$5:$C$124,$A8,Orders!$D$5:$D$124,E$5)</f>
        <v>5640.7199999999993</v>
      </c>
      <c r="F8" s="11">
        <f>SUMIFS(Orders!$H$5:$H$124,Orders!$C$5:$C$124,$A8,Orders!$D$5:$D$124,F$5)</f>
        <v>6426.95</v>
      </c>
      <c r="G8" s="11">
        <f>SUM(B8:F8)</f>
        <v>27677.01</v>
      </c>
    </row>
    <row r="9" spans="1:12" ht="14.4" x14ac:dyDescent="0.3">
      <c r="A9" t="s">
        <v>89</v>
      </c>
      <c r="B9" s="11">
        <f>SUMIFS(Orders!$H$5:$H$124,Orders!$C$5:$C$124,$A9,Orders!$D$5:$D$124,B$5)</f>
        <v>6767.7</v>
      </c>
      <c r="C9" s="11">
        <f>SUMIFS(Orders!$H$5:$H$124,Orders!$C$5:$C$124,$A9,Orders!$D$5:$D$124,C$5)</f>
        <v>3859.71</v>
      </c>
      <c r="D9" s="11">
        <f>SUMIFS(Orders!$H$5:$H$124,Orders!$C$5:$C$124,$A9,Orders!$D$5:$D$124,D$5)</f>
        <v>3999.2599999999998</v>
      </c>
      <c r="E9" s="11">
        <f>SUMIFS(Orders!$H$5:$H$124,Orders!$C$5:$C$124,$A9,Orders!$D$5:$D$124,E$5)</f>
        <v>2553.9899999999998</v>
      </c>
      <c r="F9" s="11">
        <f>SUMIFS(Orders!$H$5:$H$124,Orders!$C$5:$C$124,$A9,Orders!$D$5:$D$124,F$5)</f>
        <v>4565.9799999999996</v>
      </c>
      <c r="G9" s="11">
        <f>SUM(B9:F9)</f>
        <v>21746.639999999999</v>
      </c>
    </row>
    <row r="10" spans="1:12" ht="14.4" x14ac:dyDescent="0.3">
      <c r="A10" s="12" t="s">
        <v>242</v>
      </c>
      <c r="B10" s="13">
        <f t="shared" ref="B10:G10" si="0">SUM(B6:B9)</f>
        <v>20584.84</v>
      </c>
      <c r="C10" s="13">
        <f t="shared" si="0"/>
        <v>18163.939999999999</v>
      </c>
      <c r="D10" s="13">
        <f t="shared" si="0"/>
        <v>25815.859999999997</v>
      </c>
      <c r="E10" s="13">
        <f t="shared" si="0"/>
        <v>21201.9</v>
      </c>
      <c r="F10" s="13">
        <f t="shared" si="0"/>
        <v>19918.93</v>
      </c>
      <c r="G10" s="13">
        <f t="shared" si="0"/>
        <v>105685.47</v>
      </c>
      <c r="H10" s="12"/>
      <c r="I10" s="12"/>
      <c r="J10" s="12"/>
      <c r="K10" s="12"/>
      <c r="L10" s="12"/>
    </row>
    <row r="13" spans="1:12" ht="15.6" x14ac:dyDescent="0.3">
      <c r="A13" s="3" t="s">
        <v>243</v>
      </c>
    </row>
    <row r="14" spans="1:12" ht="14.4" x14ac:dyDescent="0.3">
      <c r="A14" s="4" t="s">
        <v>76</v>
      </c>
      <c r="B14" s="4" t="s">
        <v>244</v>
      </c>
      <c r="C14" s="4" t="s">
        <v>245</v>
      </c>
      <c r="D14" s="4" t="s">
        <v>246</v>
      </c>
      <c r="E14" s="4"/>
      <c r="F14" s="4"/>
      <c r="G14" s="4"/>
      <c r="H14" s="4"/>
      <c r="I14" s="4"/>
      <c r="J14" s="4"/>
      <c r="K14" s="4"/>
      <c r="L14" s="4"/>
    </row>
    <row r="15" spans="1:12" ht="14.4" x14ac:dyDescent="0.3">
      <c r="A15" t="s">
        <v>85</v>
      </c>
      <c r="B15">
        <f>COUNTIF(Orders!$C$5:$C$124,A15)</f>
        <v>35</v>
      </c>
      <c r="C15" s="11">
        <f>SUMIF(Orders!$C$5:$C$124,A15,Orders!$H$5:$H$124)</f>
        <v>29330.470000000008</v>
      </c>
      <c r="D15" s="11">
        <f>IFERROR(C15/B15,0)</f>
        <v>838.01342857142879</v>
      </c>
    </row>
    <row r="16" spans="1:12" ht="14.4" x14ac:dyDescent="0.3">
      <c r="A16" t="s">
        <v>97</v>
      </c>
      <c r="B16">
        <f>COUNTIF(Orders!$C$5:$C$124,A16)</f>
        <v>28</v>
      </c>
      <c r="C16" s="11">
        <f>SUMIF(Orders!$C$5:$C$124,A16,Orders!$H$5:$H$124)</f>
        <v>26931.35</v>
      </c>
      <c r="D16" s="11">
        <f>IFERROR(C16/B16,0)</f>
        <v>961.83392857142849</v>
      </c>
    </row>
    <row r="17" spans="1:12" ht="14.4" x14ac:dyDescent="0.3">
      <c r="A17" t="s">
        <v>91</v>
      </c>
      <c r="B17">
        <f>COUNTIF(Orders!$C$5:$C$124,A17)</f>
        <v>31</v>
      </c>
      <c r="C17" s="11">
        <f>SUMIF(Orders!$C$5:$C$124,A17,Orders!$H$5:$H$124)</f>
        <v>27677.010000000006</v>
      </c>
      <c r="D17" s="11">
        <f>IFERROR(C17/B17,0)</f>
        <v>892.80677419354856</v>
      </c>
    </row>
    <row r="18" spans="1:12" ht="14.4" x14ac:dyDescent="0.3">
      <c r="A18" t="s">
        <v>89</v>
      </c>
      <c r="B18">
        <f>COUNTIF(Orders!$C$5:$C$124,A18)</f>
        <v>26</v>
      </c>
      <c r="C18" s="11">
        <f>SUMIF(Orders!$C$5:$C$124,A18,Orders!$H$5:$H$124)</f>
        <v>21746.640000000003</v>
      </c>
      <c r="D18" s="11">
        <f>IFERROR(C18/B18,0)</f>
        <v>836.40923076923093</v>
      </c>
    </row>
    <row r="21" spans="1:12" ht="15.6" x14ac:dyDescent="0.3">
      <c r="A21" s="3" t="s">
        <v>247</v>
      </c>
    </row>
    <row r="22" spans="1:12" ht="14.4" x14ac:dyDescent="0.3">
      <c r="A22" s="4" t="s">
        <v>248</v>
      </c>
      <c r="B22" s="4" t="s">
        <v>249</v>
      </c>
      <c r="C22" s="4" t="s">
        <v>250</v>
      </c>
      <c r="D22" s="4" t="s">
        <v>245</v>
      </c>
      <c r="E22" s="4"/>
      <c r="F22" s="14" t="s">
        <v>251</v>
      </c>
      <c r="G22" s="4" t="s">
        <v>252</v>
      </c>
      <c r="H22" s="4"/>
      <c r="I22" s="4"/>
      <c r="J22" s="4"/>
      <c r="K22" s="4"/>
      <c r="L22" s="4"/>
    </row>
    <row r="23" spans="1:12" ht="14.4" x14ac:dyDescent="0.3">
      <c r="A23" t="s">
        <v>253</v>
      </c>
      <c r="B23" t="s">
        <v>231</v>
      </c>
      <c r="C23">
        <f>COUNTIFS(Orders!$E$5:$E$124,"&gt;="&amp;DATE(2026,7,1),Orders!$E$5:$E$124,"&lt;"&amp;DATE(2026,8,1))</f>
        <v>40</v>
      </c>
      <c r="D23" s="11">
        <f>SUMIFS(Orders!$H$5:$H$124,Orders!$E$5:$E$124,"&gt;="&amp;DATE(2026,7,1),Orders!$E$5:$E$124,"&lt;"&amp;DATE(2026,8,1))</f>
        <v>34751.050000000017</v>
      </c>
      <c r="F23" s="1" t="s">
        <v>254</v>
      </c>
      <c r="G23" t="s">
        <v>252</v>
      </c>
    </row>
    <row r="24" spans="1:12" ht="14.4" x14ac:dyDescent="0.3">
      <c r="A24" t="s">
        <v>255</v>
      </c>
      <c r="B24" t="s">
        <v>231</v>
      </c>
      <c r="C24">
        <f>COUNTIFS(Orders!$E$5:$E$124,"&gt;="&amp;DATE(2026,8,1),Orders!$E$5:$E$124,"&lt;"&amp;DATE(2026,9,1))</f>
        <v>37</v>
      </c>
      <c r="D24" s="11">
        <f>SUMIFS(Orders!$H$5:$H$124,Orders!$E$5:$E$124,"&gt;="&amp;DATE(2026,8,1),Orders!$E$5:$E$124,"&lt;"&amp;DATE(2026,9,1))</f>
        <v>35884.369999999995</v>
      </c>
      <c r="F24" s="1" t="s">
        <v>256</v>
      </c>
      <c r="G24" t="s">
        <v>257</v>
      </c>
    </row>
    <row r="25" spans="1:12" ht="14.4" x14ac:dyDescent="0.3">
      <c r="A25" t="s">
        <v>258</v>
      </c>
      <c r="B25" t="s">
        <v>231</v>
      </c>
      <c r="C25">
        <f>COUNTIFS(Orders!$E$5:$E$124,"&gt;="&amp;DATE(2026,9,1),Orders!$E$5:$E$124,"&lt;"&amp;DATE(2026,10,1))</f>
        <v>43</v>
      </c>
      <c r="D25" s="11">
        <f>SUMIFS(Orders!$H$5:$H$124,Orders!$E$5:$E$124,"&gt;="&amp;DATE(2026,9,1),Orders!$E$5:$E$124,"&lt;"&amp;DATE(2026,10,1))</f>
        <v>35050.049999999996</v>
      </c>
    </row>
    <row r="26" spans="1:12" ht="14.4" x14ac:dyDescent="0.3">
      <c r="A26" t="s">
        <v>259</v>
      </c>
      <c r="B26" t="s">
        <v>260</v>
      </c>
      <c r="C26">
        <f>COUNTIFS(Orders!$E$5:$E$124,"&gt;="&amp;DATE(2026,10,1),Orders!$E$5:$E$124,"&lt;"&amp;DATE(2026,11,1))</f>
        <v>0</v>
      </c>
      <c r="D26" s="11">
        <f>SUMIFS(Orders!$H$5:$H$124,Orders!$E$5:$E$124,"&gt;="&amp;DATE(2026,10,1),Orders!$E$5:$E$124,"&lt;"&amp;DATE(2026,11,1))</f>
        <v>0</v>
      </c>
    </row>
  </sheetData>
  <dataValidations count="2">
    <dataValidation type="list" sqref="G22" xr:uid="{00000000-0002-0000-0800-000000000000}">
      <formula1>"All,North Indian,South Indian,Chinese,Italian"</formula1>
      <formula2>0</formula2>
    </dataValidation>
    <dataValidation type="list" sqref="G23" xr:uid="{00000000-0002-0000-0800-000001000000}">
      <formula1>"All,Central,West,East,North,South"</formula1>
      <formula2>0</formula2>
    </dataValidation>
  </dataValidation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tabSelected="1" zoomScaleNormal="100" workbookViewId="0">
      <selection activeCell="G12" sqref="G12"/>
    </sheetView>
  </sheetViews>
  <sheetFormatPr defaultColWidth="8.6640625" defaultRowHeight="15" customHeight="1" x14ac:dyDescent="0.3"/>
  <cols>
    <col min="1" max="1" width="24" customWidth="1"/>
    <col min="2" max="12" width="15" customWidth="1"/>
  </cols>
  <sheetData>
    <row r="1" spans="1:12" ht="27.75" customHeight="1" x14ac:dyDescent="0.3">
      <c r="A1" s="18" t="s">
        <v>261</v>
      </c>
      <c r="B1" s="18"/>
      <c r="C1" s="18"/>
      <c r="D1" s="18"/>
      <c r="E1" s="18"/>
      <c r="F1" s="18"/>
      <c r="G1" s="18"/>
      <c r="H1" s="18"/>
      <c r="I1" s="18"/>
      <c r="J1" s="18"/>
      <c r="K1" s="18"/>
      <c r="L1" s="18"/>
    </row>
    <row r="2" spans="1:12" ht="30" customHeight="1" x14ac:dyDescent="0.3">
      <c r="A2" s="19" t="s">
        <v>262</v>
      </c>
      <c r="B2" s="19"/>
      <c r="C2" s="19"/>
      <c r="D2" s="19"/>
      <c r="E2" s="19"/>
      <c r="F2" s="19"/>
      <c r="G2" s="19"/>
      <c r="H2" s="19"/>
      <c r="I2" s="19"/>
      <c r="J2" s="19"/>
      <c r="K2" s="19"/>
      <c r="L2" s="19"/>
    </row>
    <row r="4" spans="1:12" ht="14.4" x14ac:dyDescent="0.3">
      <c r="A4" s="20" t="s">
        <v>263</v>
      </c>
      <c r="B4" s="20"/>
      <c r="C4" s="20"/>
      <c r="E4" s="20" t="s">
        <v>264</v>
      </c>
      <c r="F4" s="20"/>
      <c r="G4" s="20"/>
      <c r="I4" s="20" t="s">
        <v>265</v>
      </c>
      <c r="J4" s="20"/>
      <c r="K4" s="20"/>
    </row>
    <row r="5" spans="1:12" ht="14.4" x14ac:dyDescent="0.3">
      <c r="A5" s="15">
        <f>SUM(Orders!$H$5:$H$124)</f>
        <v>105685.46999999999</v>
      </c>
      <c r="B5" s="15"/>
      <c r="C5" s="15"/>
      <c r="E5" s="16">
        <f>AVERAGE(Orders!$G$5:$G$124)</f>
        <v>4.0199999999999996</v>
      </c>
      <c r="F5" s="16"/>
      <c r="G5" s="16"/>
      <c r="I5" s="17">
        <f>COUNTIFS(Orders!$I$5:$I$124,"Delivered",Orders!$F$5:$F$124,"&lt;=40")/COUNTA(Orders!$A$5:$A$124)</f>
        <v>0.66666666666666663</v>
      </c>
      <c r="J5" s="17"/>
      <c r="K5" s="17"/>
    </row>
    <row r="6" spans="1:12" ht="14.4" x14ac:dyDescent="0.3">
      <c r="A6" s="15"/>
      <c r="B6" s="15"/>
      <c r="C6" s="15"/>
      <c r="E6" s="16"/>
      <c r="F6" s="16"/>
      <c r="G6" s="16"/>
      <c r="I6" s="17"/>
      <c r="J6" s="17"/>
      <c r="K6" s="17"/>
    </row>
    <row r="9" spans="1:12" ht="15.6" x14ac:dyDescent="0.3">
      <c r="A9" s="3" t="s">
        <v>241</v>
      </c>
    </row>
    <row r="10" spans="1:12" ht="14.4" x14ac:dyDescent="0.3">
      <c r="A10" s="4"/>
      <c r="B10" s="4" t="s">
        <v>37</v>
      </c>
      <c r="C10" s="4" t="s">
        <v>41</v>
      </c>
      <c r="D10" s="4" t="s">
        <v>48</v>
      </c>
      <c r="E10" s="4" t="s">
        <v>52</v>
      </c>
      <c r="F10" s="4" t="s">
        <v>45</v>
      </c>
      <c r="G10" s="4" t="s">
        <v>242</v>
      </c>
      <c r="H10" s="4"/>
      <c r="I10" s="4"/>
      <c r="J10" s="4"/>
      <c r="K10" s="4"/>
      <c r="L10" s="4"/>
    </row>
    <row r="11" spans="1:12" ht="14.4" x14ac:dyDescent="0.3">
      <c r="A11" t="s">
        <v>85</v>
      </c>
      <c r="B11" s="11">
        <f>'Pivot Analysis'!B6</f>
        <v>6086.72</v>
      </c>
      <c r="C11" s="11">
        <f>'Pivot Analysis'!C6</f>
        <v>6002.32</v>
      </c>
      <c r="D11" s="11">
        <f>'Pivot Analysis'!D6</f>
        <v>5488.74</v>
      </c>
      <c r="E11" s="11">
        <f>'Pivot Analysis'!E6</f>
        <v>7021.630000000001</v>
      </c>
      <c r="F11" s="11">
        <f>'Pivot Analysis'!F6</f>
        <v>4731.0599999999995</v>
      </c>
      <c r="G11" s="11">
        <f>SUM(B11:F11)</f>
        <v>29330.47</v>
      </c>
    </row>
    <row r="12" spans="1:12" ht="14.4" x14ac:dyDescent="0.3">
      <c r="A12" t="s">
        <v>97</v>
      </c>
      <c r="B12" s="11">
        <f>'Pivot Analysis'!B7</f>
        <v>3714.75</v>
      </c>
      <c r="C12" s="11">
        <f>'Pivot Analysis'!C7</f>
        <v>4128.09</v>
      </c>
      <c r="D12" s="11">
        <f>'Pivot Analysis'!D7</f>
        <v>8908.01</v>
      </c>
      <c r="E12" s="11">
        <f>'Pivot Analysis'!E7</f>
        <v>5985.56</v>
      </c>
      <c r="F12" s="11">
        <f>'Pivot Analysis'!F7</f>
        <v>4194.9400000000005</v>
      </c>
      <c r="G12" s="11">
        <f>SUM(B12:F12)</f>
        <v>26931.35</v>
      </c>
    </row>
    <row r="13" spans="1:12" ht="14.4" x14ac:dyDescent="0.3">
      <c r="A13" t="s">
        <v>91</v>
      </c>
      <c r="B13" s="11">
        <f>'Pivot Analysis'!B8</f>
        <v>4015.67</v>
      </c>
      <c r="C13" s="11">
        <f>'Pivot Analysis'!C8</f>
        <v>4173.82</v>
      </c>
      <c r="D13" s="11">
        <f>'Pivot Analysis'!D8</f>
        <v>7419.8499999999995</v>
      </c>
      <c r="E13" s="11">
        <f>'Pivot Analysis'!E8</f>
        <v>5640.7199999999993</v>
      </c>
      <c r="F13" s="11">
        <f>'Pivot Analysis'!F8</f>
        <v>6426.95</v>
      </c>
      <c r="G13" s="11">
        <f>SUM(B13:F13)</f>
        <v>27677.01</v>
      </c>
    </row>
    <row r="14" spans="1:12" ht="14.4" x14ac:dyDescent="0.3">
      <c r="A14" t="s">
        <v>89</v>
      </c>
      <c r="B14" s="11">
        <f>'Pivot Analysis'!B9</f>
        <v>6767.7</v>
      </c>
      <c r="C14" s="11">
        <f>'Pivot Analysis'!C9</f>
        <v>3859.71</v>
      </c>
      <c r="D14" s="11">
        <f>'Pivot Analysis'!D9</f>
        <v>3999.2599999999998</v>
      </c>
      <c r="E14" s="11">
        <f>'Pivot Analysis'!E9</f>
        <v>2553.9899999999998</v>
      </c>
      <c r="F14" s="11">
        <f>'Pivot Analysis'!F9</f>
        <v>4565.9799999999996</v>
      </c>
      <c r="G14" s="11">
        <f>SUM(B14:F14)</f>
        <v>21746.639999999999</v>
      </c>
    </row>
    <row r="15" spans="1:12" ht="14.4" x14ac:dyDescent="0.3">
      <c r="A15" s="12" t="s">
        <v>242</v>
      </c>
      <c r="B15" s="13">
        <f t="shared" ref="B15:G15" si="0">SUM(B11:B14)</f>
        <v>20584.84</v>
      </c>
      <c r="C15" s="13">
        <f t="shared" si="0"/>
        <v>18163.939999999999</v>
      </c>
      <c r="D15" s="13">
        <f t="shared" si="0"/>
        <v>25815.859999999997</v>
      </c>
      <c r="E15" s="13">
        <f t="shared" si="0"/>
        <v>21201.9</v>
      </c>
      <c r="F15" s="13">
        <f t="shared" si="0"/>
        <v>19918.93</v>
      </c>
      <c r="G15" s="13">
        <f t="shared" si="0"/>
        <v>105685.47</v>
      </c>
      <c r="H15" s="12"/>
      <c r="I15" s="12"/>
      <c r="J15" s="12"/>
      <c r="K15" s="12"/>
      <c r="L15" s="12"/>
    </row>
    <row r="18" spans="1:12" ht="15.6" x14ac:dyDescent="0.3">
      <c r="A18" s="3" t="s">
        <v>266</v>
      </c>
    </row>
    <row r="19" spans="1:12" ht="14.4" x14ac:dyDescent="0.3">
      <c r="A19" s="4" t="s">
        <v>248</v>
      </c>
      <c r="B19" s="4" t="s">
        <v>249</v>
      </c>
      <c r="C19" s="4" t="s">
        <v>244</v>
      </c>
      <c r="D19" s="4" t="s">
        <v>245</v>
      </c>
      <c r="E19" s="4"/>
      <c r="F19" s="4"/>
      <c r="G19" s="4"/>
      <c r="H19" s="4"/>
      <c r="I19" s="4"/>
      <c r="J19" s="4"/>
      <c r="K19" s="4"/>
      <c r="L19" s="4"/>
    </row>
    <row r="20" spans="1:12" ht="14.4" x14ac:dyDescent="0.3">
      <c r="A20" t="str">
        <f>'Pivot Analysis'!A23</f>
        <v>Jul-2026</v>
      </c>
      <c r="B20" t="str">
        <f>'Pivot Analysis'!B23</f>
        <v>Q3</v>
      </c>
      <c r="C20">
        <f>'Pivot Analysis'!C23</f>
        <v>40</v>
      </c>
      <c r="D20" s="11">
        <f>'Pivot Analysis'!D23</f>
        <v>34751.050000000017</v>
      </c>
    </row>
    <row r="21" spans="1:12" ht="14.4" x14ac:dyDescent="0.3">
      <c r="A21" t="str">
        <f>'Pivot Analysis'!A24</f>
        <v>Aug-2026</v>
      </c>
      <c r="B21" t="str">
        <f>'Pivot Analysis'!B24</f>
        <v>Q3</v>
      </c>
      <c r="C21">
        <f>'Pivot Analysis'!C24</f>
        <v>37</v>
      </c>
      <c r="D21" s="11">
        <f>'Pivot Analysis'!D24</f>
        <v>35884.369999999995</v>
      </c>
    </row>
    <row r="22" spans="1:12" ht="14.4" x14ac:dyDescent="0.3">
      <c r="A22" t="str">
        <f>'Pivot Analysis'!A25</f>
        <v>Sep-2026</v>
      </c>
      <c r="B22" t="str">
        <f>'Pivot Analysis'!B25</f>
        <v>Q3</v>
      </c>
      <c r="C22">
        <f>'Pivot Analysis'!C25</f>
        <v>43</v>
      </c>
      <c r="D22" s="11">
        <f>'Pivot Analysis'!D25</f>
        <v>35050.049999999996</v>
      </c>
    </row>
    <row r="23" spans="1:12" ht="14.4" x14ac:dyDescent="0.3">
      <c r="A23" t="str">
        <f>'Pivot Analysis'!A26</f>
        <v>Oct-2026</v>
      </c>
      <c r="B23" t="str">
        <f>'Pivot Analysis'!B26</f>
        <v>Q4</v>
      </c>
      <c r="C23">
        <f>'Pivot Analysis'!C26</f>
        <v>0</v>
      </c>
      <c r="D23" s="11">
        <f>'Pivot Analysis'!D26</f>
        <v>0</v>
      </c>
    </row>
    <row r="27" spans="1:12" ht="15.6" x14ac:dyDescent="0.3">
      <c r="A27" s="3" t="s">
        <v>267</v>
      </c>
    </row>
    <row r="28" spans="1:12" ht="43.2" x14ac:dyDescent="0.3">
      <c r="A28" s="2" t="s">
        <v>268</v>
      </c>
    </row>
  </sheetData>
  <mergeCells count="8">
    <mergeCell ref="A5:C6"/>
    <mergeCell ref="E5:G6"/>
    <mergeCell ref="I5:K6"/>
    <mergeCell ref="A1:L1"/>
    <mergeCell ref="A2:L2"/>
    <mergeCell ref="A4:C4"/>
    <mergeCell ref="E4:G4"/>
    <mergeCell ref="I4:K4"/>
  </mergeCells>
  <conditionalFormatting sqref="B11:F14">
    <cfRule type="colorScale" priority="2">
      <colorScale>
        <cfvo type="min"/>
        <cfvo type="percentile" val="50"/>
        <cfvo type="max"/>
        <color rgb="FFFFFFFF"/>
        <color rgb="FFD9EAF7"/>
        <color rgb="FF70AD47"/>
      </colorScale>
    </cfRule>
  </conditionalFormatting>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Section A</vt:lpstr>
      <vt:lpstr>Restaurants</vt:lpstr>
      <vt:lpstr>Orders</vt:lpstr>
      <vt:lpstr>Premium Orders</vt:lpstr>
      <vt:lpstr>Stats Summary</vt:lpstr>
      <vt:lpstr>QStats</vt:lpstr>
      <vt:lpstr>Zone Stats</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DOLLY</dc:creator>
  <cp:lastModifiedBy>Dolly Patel</cp:lastModifiedBy>
  <dcterms:created xsi:type="dcterms:W3CDTF">2026-10-02T10:28:10Z</dcterms:created>
  <dcterms:modified xsi:type="dcterms:W3CDTF">2026-10-03T04:32:38Z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2026-10-02T09:10:35Z</dcterms:created>
  <dc:creator>openpyxl</dc:creator>
  <dc:description/>
  <dc:language>en-US</dc:language>
  <cp:lastModifiedBy/>
  <dcterms:modified xsi:type="dcterms:W3CDTF">2026-10-02T09:10:35Z</dcterms:modified>
  <cp:revision>0</cp:revision>
  <dc:subject/>
  <dc:title/>
</cp:coreProperties>
</file>